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roject\Ordinis\docs\Sprint\"/>
    </mc:Choice>
  </mc:AlternateContent>
  <xr:revisionPtr revIDLastSave="0" documentId="13_ncr:1_{C614E800-AB06-4084-A6AC-821E7C6E7285}" xr6:coauthVersionLast="47" xr6:coauthVersionMax="47" xr10:uidLastSave="{00000000-0000-0000-0000-000000000000}"/>
  <bookViews>
    <workbookView xWindow="-108" yWindow="-108" windowWidth="23256" windowHeight="12456" tabRatio="500" firstSheet="3" activeTab="8" xr2:uid="{00000000-000D-0000-FFFF-FFFF00000000}"/>
  </bookViews>
  <sheets>
    <sheet name="Team" sheetId="1" r:id="rId1"/>
    <sheet name="Product Backlog" sheetId="2" r:id="rId2"/>
    <sheet name="Sprint 1" sheetId="3" r:id="rId3"/>
    <sheet name="Sprint 2" sheetId="4" r:id="rId4"/>
    <sheet name="Sprint 3" sheetId="5" r:id="rId5"/>
    <sheet name="Sprint 4" sheetId="6" r:id="rId6"/>
    <sheet name="Sprint 5" sheetId="7" r:id="rId7"/>
    <sheet name="Sprint 6 Brief" sheetId="8" r:id="rId8"/>
    <sheet name="Sprint 6" sheetId="9" r:id="rId9"/>
    <sheet name="Gap Register" sheetId="10" r:id="rId10"/>
  </sheets>
  <calcPr calcId="191029"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10" i="10" l="1"/>
  <c r="E9" i="10"/>
  <c r="E8" i="10"/>
  <c r="E7" i="10"/>
  <c r="E6" i="10"/>
  <c r="E5" i="10"/>
  <c r="E194" i="9"/>
  <c r="E193" i="9"/>
  <c r="E192" i="9"/>
  <c r="E191" i="9"/>
  <c r="F66" i="8"/>
  <c r="E66" i="8"/>
  <c r="D66" i="8"/>
  <c r="C66" i="8"/>
  <c r="F65" i="8"/>
  <c r="E65" i="8"/>
  <c r="D65" i="8"/>
  <c r="C65" i="8"/>
  <c r="F64" i="8"/>
  <c r="E64" i="8"/>
  <c r="D64" i="8"/>
  <c r="C64" i="8"/>
  <c r="F63" i="8"/>
  <c r="E63" i="8"/>
  <c r="D63" i="8"/>
  <c r="C63" i="8"/>
  <c r="F62" i="8"/>
  <c r="F67" i="8" s="1"/>
  <c r="E62" i="8"/>
  <c r="E67" i="8" s="1"/>
  <c r="D62" i="8"/>
  <c r="D67" i="8" s="1"/>
  <c r="C62" i="8"/>
  <c r="C67" i="8" s="1"/>
  <c r="C107" i="7"/>
  <c r="E106" i="7"/>
  <c r="E105" i="7"/>
  <c r="C114" i="6"/>
  <c r="E113" i="6"/>
  <c r="E112" i="6"/>
  <c r="C130" i="5"/>
  <c r="E129" i="5"/>
  <c r="E128" i="5"/>
  <c r="C56" i="4"/>
  <c r="E55" i="4"/>
  <c r="E54" i="4"/>
  <c r="C64" i="3"/>
  <c r="E63" i="3"/>
  <c r="E62" i="3"/>
</calcChain>
</file>

<file path=xl/sharedStrings.xml><?xml version="1.0" encoding="utf-8"?>
<sst xmlns="http://schemas.openxmlformats.org/spreadsheetml/2006/main" count="3707" uniqueCount="1288">
  <si>
    <t>Ordinis — Project Team</t>
  </si>
  <si>
    <t>SL</t>
  </si>
  <si>
    <t>Student ID</t>
  </si>
  <si>
    <t>Student Name</t>
  </si>
  <si>
    <t>Role</t>
  </si>
  <si>
    <t>23201023</t>
  </si>
  <si>
    <t>Md. Nazmuz Saif</t>
  </si>
  <si>
    <t>Software Developer (Programmer)</t>
  </si>
  <si>
    <t>23201008</t>
  </si>
  <si>
    <t>Fawjiya Fahima Eifa</t>
  </si>
  <si>
    <t>System Designer / Software Architect</t>
  </si>
  <si>
    <t>23201055</t>
  </si>
  <si>
    <t>Montasim Kabir Mahin</t>
  </si>
  <si>
    <t>Project Manager</t>
  </si>
  <si>
    <t>23201029</t>
  </si>
  <si>
    <t>Sadia Jahan Disha</t>
  </si>
  <si>
    <t>System Analyst / Business Analyst</t>
  </si>
  <si>
    <t>23201050</t>
  </si>
  <si>
    <t>Md. Tahsin Rahman Khan</t>
  </si>
  <si>
    <t>Tester / Quality Assurance (QA) Engineer</t>
  </si>
  <si>
    <t>Ordinis — Product Backlog</t>
  </si>
  <si>
    <t>Organization Operating System (OrgOS) — Multi-Tenant SaaS Platform</t>
  </si>
  <si>
    <t>Backlog ID</t>
  </si>
  <si>
    <t>Epic / Module</t>
  </si>
  <si>
    <t>User Story</t>
  </si>
  <si>
    <t>Priority</t>
  </si>
  <si>
    <t>Story Points</t>
  </si>
  <si>
    <t>Status</t>
  </si>
  <si>
    <t>Sprint Assigned</t>
  </si>
  <si>
    <t>Owner</t>
  </si>
  <si>
    <t>PB-01</t>
  </si>
  <si>
    <t>Authentication &amp; Onboarding</t>
  </si>
  <si>
    <t>As a Company Owner, I want to self-register my company and create my CEO account in one step, so that I can start using Ordinis without manual setup by an admin.</t>
  </si>
  <si>
    <t>High</t>
  </si>
  <si>
    <t>Done</t>
  </si>
  <si>
    <t>Sprint 1</t>
  </si>
  <si>
    <t>PB-02</t>
  </si>
  <si>
    <t>As a User, I want to log in with my email and password, so that I can securely access my company's Ordinis dashboard.</t>
  </si>
  <si>
    <t>PB-03</t>
  </si>
  <si>
    <t>As a User, I want my login blocked if my company's subscription is suspended, so that access matches billing status.</t>
  </si>
  <si>
    <t>Medium</t>
  </si>
  <si>
    <t>PB-04</t>
  </si>
  <si>
    <t>Organization Management</t>
  </si>
  <si>
    <t>As a CEO, I want to create and manage Departments for my company, so that I can structure my organization the way I need.</t>
  </si>
  <si>
    <t>PB-05</t>
  </si>
  <si>
    <t>As a CEO, I want to create and manage Designations (job titles), so that employees can be labeled correctly without affecting their access rights.</t>
  </si>
  <si>
    <t>PB-06</t>
  </si>
  <si>
    <t>As a CEO, I want to add Employees and assign each one a manager (reports-to), so that my real reporting hierarchy is reflected in the system.</t>
  </si>
  <si>
    <t>PB-07</t>
  </si>
  <si>
    <t>As a Department Head, I want the system to resolve my full list of subordinates automatically, so that I can see my whole team regardless of hierarchy depth.</t>
  </si>
  <si>
    <t>Sprint 2</t>
  </si>
  <si>
    <t>PB-08</t>
  </si>
  <si>
    <t>RBAC (Roles &amp; Permissions)</t>
  </si>
  <si>
    <t>As a CEO, I want to create custom Roles as bundles of Permissions, so that access rights are independent of job titles.</t>
  </si>
  <si>
    <t>PB-09</t>
  </si>
  <si>
    <t>As a CEO, I want to assign one or more Roles to any Employee, so that I can grant exactly the access that person needs.</t>
  </si>
  <si>
    <t>PB-10</t>
  </si>
  <si>
    <t>As the System, I want every protected action to check a specific Permission codename, so that access control never depends on a hardcoded job-title check.</t>
  </si>
  <si>
    <t>PB-11</t>
  </si>
  <si>
    <t>As the System, I want the unfinished Sprint 2 RBAC work and the gaps left in PB-01, PB-07, and PB-10 closed, so that every protected action is really permission-checked and no company can reach another company's data.</t>
  </si>
  <si>
    <t>Sprint 3</t>
  </si>
  <si>
    <t>PB-12</t>
  </si>
  <si>
    <t>Approval Workflow</t>
  </si>
  <si>
    <t>As a CEO, I want to define a multi-step Approval Chain for leave requests, so that my company's actual approval process is enforced by the system.</t>
  </si>
  <si>
    <t>PB-13</t>
  </si>
  <si>
    <t>As an Approver, I want to approve or reject a pending request with a comment, so that decisions and reasons are recorded.</t>
  </si>
  <si>
    <t>PB-14</t>
  </si>
  <si>
    <t>Task Management</t>
  </si>
  <si>
    <t>As a Department Head, I want to create Tasks and assign them to Employees with a priority and deadline, so that work is tracked centrally.</t>
  </si>
  <si>
    <t>PB-15</t>
  </si>
  <si>
    <t>As an Employee, I want to submit a Task only through valid status changes, so that progress reporting stays accurate and consistent.</t>
  </si>
  <si>
    <t>PB-16</t>
  </si>
  <si>
    <t>UI &amp; Experience</t>
  </si>
  <si>
    <t>As a User, I want every screen to use the same status badges, metric cards, empty states, and chart cards, so that the product looks consistent and is easy to learn.</t>
  </si>
  <si>
    <t>PB-17</t>
  </si>
  <si>
    <t>As a Department Head, I want to delegate my approval authority to someone else for a date range, so that requests are not stuck when I'm on leave.</t>
  </si>
  <si>
    <t>PB-18</t>
  </si>
  <si>
    <t>As an Accountant, I want to define a Salary Structure per employee and keep salary and financial data restricted to users with finance permission, so that confidential pay data stays private regardless of hierarchy.</t>
  </si>
  <si>
    <t>Incomplete</t>
  </si>
  <si>
    <t>PB-19</t>
  </si>
  <si>
    <t>Attendance &amp; Leave</t>
  </si>
  <si>
    <t>As an Employee, I want to check in and check out once per day, so that my attendance is recorded accurately.</t>
  </si>
  <si>
    <t>PB-20</t>
  </si>
  <si>
    <t>As a User, I want a polished app shell (grouped sidebar, navbar, notification dropdown, company switcher, plan badge), so that the product feels professional and is easy to navigate.</t>
  </si>
  <si>
    <t>PB-21</t>
  </si>
  <si>
    <t>Quality &amp; Setup</t>
  </si>
  <si>
    <t>As a Developer, I want all list endpoints paginated and the project set up with requirements, environment example, and README, so that the system scales and can be installed by anyone.</t>
  </si>
  <si>
    <t>Sprint 4</t>
  </si>
  <si>
    <t>PB-22</t>
  </si>
  <si>
    <t>As a User, I want a dashboard made for my Role (CEO, Manager, HR, Accountant, Employee), so that I see only what matters to my work.</t>
  </si>
  <si>
    <t>PB-23</t>
  </si>
  <si>
    <t>Billing &amp; Platform Admin</t>
  </si>
  <si>
    <t>As the Platform Owner, I want a Break-Glass access process for support, so that I can help a client without having default access to their data.</t>
  </si>
  <si>
    <t>PB-24</t>
  </si>
  <si>
    <t>As the Platform Owner, I want an admin panel for companies, support tickets, and Break-Glass requests, so that I can operate the platform without seeing client data by default.</t>
  </si>
  <si>
    <t>PB-25</t>
  </si>
  <si>
    <t>As a Department Head, I want to see Tasks on a Kanban board (To Do, In Progress, Review, Done), so that I can see team progress at a glance.</t>
  </si>
  <si>
    <t>PB-26</t>
  </si>
  <si>
    <t>As an Employee, I want to log daily progress on a multi-day task, so that my manager can see progress without me uploading code or files.</t>
  </si>
  <si>
    <t>PB-27</t>
  </si>
  <si>
    <t>Notifications</t>
  </si>
  <si>
    <t>As a User, I want a personalized Action Inbox combining my pending tasks, approvals, and notifications, so that I know what needs my attention in one place.</t>
  </si>
  <si>
    <t>PB-28</t>
  </si>
  <si>
    <t>Payroll</t>
  </si>
  <si>
    <t>As an Accountant, I want to generate a Payslip for a given month without creating duplicates, so that payroll runs stay accurate.</t>
  </si>
  <si>
    <t>PB-29</t>
  </si>
  <si>
    <t>As an Employee, I want to apply for leave and have my balance validated automatically, so that I can't accidentally over-request leave.</t>
  </si>
  <si>
    <t>PB-30</t>
  </si>
  <si>
    <t>As an Employee, I want my leave request to follow my company's Approval Chain, and approvers to approve or reject it, so that leave is decided by the right people in the right order.</t>
  </si>
  <si>
    <t>Sprint 5</t>
  </si>
  <si>
    <t>PB-31</t>
  </si>
  <si>
    <t>As a Presenter, I want a command that fills the system with realistic demo data, so that every screen looks real during the demo.</t>
  </si>
  <si>
    <t>PB-32</t>
  </si>
  <si>
    <t>As a Developer, I want a Selenium regression suite and backend tests, so that changes cannot silently break working features.</t>
  </si>
  <si>
    <t>PB-33</t>
  </si>
  <si>
    <t>As a Reviewer, I want the SRS, SDS, and structure documents to match the delivered system, so that the documents are trustworthy.</t>
  </si>
  <si>
    <t>PB-34</t>
  </si>
  <si>
    <t>As a Team, I want a full demo rehearsal with a bug-fix buffer, so that the final presentation runs smoothly.</t>
  </si>
  <si>
    <t>To Do</t>
  </si>
  <si>
    <t>PB-35</t>
  </si>
  <si>
    <t>Audit &amp; Analytics</t>
  </si>
  <si>
    <t>As a CEO, I want an Analytics page with attendance and task-completion charts, so that I can see my company's health.</t>
  </si>
  <si>
    <t>PB-36</t>
  </si>
  <si>
    <t>As a CEO, I want every sensitive action logged in an append-only Audit Log, so that I have a tamper-proof history of what happened.</t>
  </si>
  <si>
    <t>PB-37</t>
  </si>
  <si>
    <t>As a CEO, I want an Audit Log page with module filter and export, so that I can review who did what and when.</t>
  </si>
  <si>
    <t>PB-38</t>
  </si>
  <si>
    <t>As a CEO, I want a Billing page showing my plan, employee limit, and invoices, so that I can manage my subscription.</t>
  </si>
  <si>
    <t>PB-39</t>
  </si>
  <si>
    <t>As an Employee, I want a monthly attendance calendar with summary cards, so that I can see my attendance history at a glance.</t>
  </si>
  <si>
    <t>PB-40</t>
  </si>
  <si>
    <t>As an Accountant, I want the unfinished Sprint 3 Salary Structure work (database, API, self-test and the Edit/Delete screen) completed, so that confidential pay data can be defined, edited and deleted per employee and stays restricted to users with the finance Permission.</t>
  </si>
  <si>
    <t>PB-41</t>
  </si>
  <si>
    <t>As a CEO, I want every Permission to have a clear name, a plain-language description and a module, kept in one place in the code, and the Roles page to offer only real Permissions, so that a Role I create keeps every Permission I tick and I know what each one allows.</t>
  </si>
  <si>
    <t>Sprint 6</t>
  </si>
  <si>
    <t>PB-42</t>
  </si>
  <si>
    <t>As a CEO, I want a Roles page with Permissions in sections, a detail page for each Role that explains what every Permission lets people do, and the ability to edit a Role, so that I can design access without guessing.</t>
  </si>
  <si>
    <t>PB-43</t>
  </si>
  <si>
    <t>Profile &amp; Identity</t>
  </si>
  <si>
    <t>As an employee, I want my full name and profile details stored and editable by me, so that the system shows real names everywhere and I keep my own details current.</t>
  </si>
  <si>
    <t>PB-44</t>
  </si>
  <si>
    <t>As any user (employee, CEO or Platform Admin), I want a My Profile page where I see and edit my own details, so that I keep my information current myself.</t>
  </si>
  <si>
    <t>PB-45</t>
  </si>
  <si>
    <t>As a CEO and as an employee, I want a safe way to change my password and a temporary password for new employees, so that nobody has to share a password.</t>
  </si>
  <si>
    <t>PB-46</t>
  </si>
  <si>
    <t>As a CEO or HR user, I want an Employee detail page with the full profile and the Permissions that person really has, so that I can see exactly who someone is and what they can do.</t>
  </si>
  <si>
    <t>PB-47</t>
  </si>
  <si>
    <t>As a CEO or a manager with the Permission, I want to pick an employee from a dropdown and see their attendance for a month, so that I know how many days they came and at what times.</t>
  </si>
  <si>
    <t>PB-48</t>
  </si>
  <si>
    <t>As the Platform Owner, I want every company's subscription to have a start and end date, a days-left count, automatic reminders before it ends and a restricted mode after it ends, so that unpaid companies stop using the product without being locked out of paying.</t>
  </si>
  <si>
    <t>PB-49</t>
  </si>
  <si>
    <t>As a company owner, I want to choose a plan for any number of months, pay by bKash, Nagad or bank transfer outside the system and submit the payment details, so that the platform team can check and approve it and my plan starts.</t>
  </si>
  <si>
    <t>PB-50</t>
  </si>
  <si>
    <t>As a new client, I want to register, choose a plan and duration, pay and submit my payment details, and wait for approval, so that my company starts only after my payment is checked.</t>
  </si>
  <si>
    <t>PB-51</t>
  </si>
  <si>
    <t>As the Platform Owner, I want a Payments page to review the payments companies submit and a Subscriptions page that shows every company's days left, so that I approve what I verified and see who expires soon.</t>
  </si>
  <si>
    <t>PB-52</t>
  </si>
  <si>
    <t>As a CEO, I want a Billing timeline showing how many days my plan has left, a Renew button with an invoice to pay, and a detail page for every invoice, so that I always know when and how much to pay.</t>
  </si>
  <si>
    <t>PB-53</t>
  </si>
  <si>
    <t>As a CEO or Department Head, I want a detail page for each Department and each Designation, so that I can see who is in it, what they do and what work is running.</t>
  </si>
  <si>
    <t>PB-54</t>
  </si>
  <si>
    <t>As a CEO, I want to request a plan change, see the extra amount to pay, pay it and have the admin approve it, so that my plan changes only after payment.</t>
  </si>
  <si>
    <t>PB-55</t>
  </si>
  <si>
    <t>As the Platform Owner, I want a detail page for each company with its plan, subscription timeline, owner contact, size and support history, so that I can help a company without opening its data.</t>
  </si>
  <si>
    <t>PB-56</t>
  </si>
  <si>
    <t>As the Platform Owner, I want a dashboard showing companies by state, revenue, dues and what needs my attention, so that I can see the health of the platform at a glance.</t>
  </si>
  <si>
    <t>PB-57</t>
  </si>
  <si>
    <t>As the Platform Owner and as a company user, I want a note on every suspend or activate, a way to request access to a company, a way to send a support request from inside my company, and a sidebar without unfinished items, so that every action is explained and every menu item works.</t>
  </si>
  <si>
    <t>PB-58</t>
  </si>
  <si>
    <t>As a Team, I want the tests, documents and demo script to match the Sprint 6 system and one more full rehearsal, so that the final build is ready to present.</t>
  </si>
  <si>
    <t>Ordinis — Sprint 1 Planning</t>
  </si>
  <si>
    <t>Sprint Duration: Sep 1 – Sep 9</t>
  </si>
  <si>
    <t>Sprint Goal: Stand up Company onboarding, authentication, and the core Organization structure (Department, Designation, Employee with hierarchy) so a company can self-register and build its org chart.</t>
  </si>
  <si>
    <t>Selected Stories for this Sprint</t>
  </si>
  <si>
    <t>Story ID</t>
  </si>
  <si>
    <t>Acceptance Criteria</t>
  </si>
  <si>
    <t>ST-101</t>
  </si>
  <si>
    <t>- Registration form creates Company, CompanySettings, CEO Designation, User, and Employee in one atomic transaction
- A valid JWT is returned immediately
- Registration fails cleanly (no partial records) if any step fails</t>
  </si>
  <si>
    <t>ST-102</t>
  </si>
  <si>
    <t>- Valid credentials return an access token and a refresh token
- Invalid credentials return a generic error (no enumeration)
- Access token works on a protected endpoint; refresh token issues a new access token</t>
  </si>
  <si>
    <t>ST-103</t>
  </si>
  <si>
    <t>- Login from a suspended company returns a specific error and no token
- An already-issued token from a since-suspended company is rejected on the next call</t>
  </si>
  <si>
    <t>ST-104</t>
  </si>
  <si>
    <t>- CRUD works for Departments, scoped strictly to the CEO's own company
- Accessing another company's Department by ID returns 404</t>
  </si>
  <si>
    <t>ST-105</t>
  </si>
  <si>
    <t>- CRUD works for Designations, scoped to the CEO's own company
- Creating/removing a Designation has no effect on any Employee's permissions</t>
  </si>
  <si>
    <t>ST-106</t>
  </si>
  <si>
    <t>- Employee can be created with Department, Designation, and reports_to
- Hierarchy supports any depth without code changes
- An Employee cannot be set as their own manager</t>
  </si>
  <si>
    <t>Task Breakdown — one owner does the full story (Design → Database → Backend → Frontend → Self-Test)</t>
  </si>
  <si>
    <t>Category</t>
  </si>
  <si>
    <t>Task</t>
  </si>
  <si>
    <t>Estimate (hrs)</t>
  </si>
  <si>
    <t>Design</t>
  </si>
  <si>
    <t>Design Company + CompanySettings + CEO Designation data model and registration sequence</t>
  </si>
  <si>
    <t>Database</t>
  </si>
  <si>
    <t>Create and verify migrations for Company, CompanySettings, Designation, User, Employee</t>
  </si>
  <si>
    <t>Backend</t>
  </si>
  <si>
    <t>Build atomic CompanyRegisterSerializer (transaction-wrapped) + CompanyRegisterView</t>
  </si>
  <si>
    <t>Frontend</t>
  </si>
  <si>
    <t>Build Company Registration page (form, validation, API call)</t>
  </si>
  <si>
    <t>Self-Test</t>
  </si>
  <si>
    <t>Self-test registration with valid data and with a missing required field</t>
  </si>
  <si>
    <t>Design JWT token structure (claims: email, company_id) and refresh flow</t>
  </si>
  <si>
    <t>Configure djangorestframework-simplejwt; build CustomTokenObtainPairSerializer; wire login/refresh endpoints</t>
  </si>
  <si>
    <t>Build Login page (form, error display, token storage)</t>
  </si>
  <si>
    <t>Self-test login with valid and invalid credentials</t>
  </si>
  <si>
    <t>Add is_active check to Company model and login serializer; build IsCompanyActive permission class</t>
  </si>
  <si>
    <t>Self-test login attempt from a suspended-company account</t>
  </si>
  <si>
    <t>Design Department schema (company-scoped)</t>
  </si>
  <si>
    <t>Create Department model and migration</t>
  </si>
  <si>
    <t>Build DepartmentSerializer + DepartmentViewSet (company-filtered queryset)</t>
  </si>
  <si>
    <t>Build Departments page (list, create, edit, delete)</t>
  </si>
  <si>
    <t>Self-test Department CRUD and cross-tenant isolation</t>
  </si>
  <si>
    <t>Design Designation schema (company-scoped, label-only)</t>
  </si>
  <si>
    <t>Create Designation model and migration</t>
  </si>
  <si>
    <t>Build DesignationSerializer + DesignationViewSet</t>
  </si>
  <si>
    <t>Build Designations page (list, create, edit, delete)</t>
  </si>
  <si>
    <t>Self-test Designation CRUD, scoped to own company</t>
  </si>
  <si>
    <t>Design self-referencing Employee hierarchy (reports_to) and circular-reference rule</t>
  </si>
  <si>
    <t>Create Employee model and migration with self-referencing reports_to FK</t>
  </si>
  <si>
    <t>Build EmployeeSerializer + EmployeeViewSet; add circular-reference guard on reports_to</t>
  </si>
  <si>
    <t>Build Employees page (list, create, edit — manager/reports-to dropdown)</t>
  </si>
  <si>
    <t>Self-test hierarchy assignment across levels and the circular-reference block</t>
  </si>
  <si>
    <t>Overall Testing — QA Pass (Md. Tahsin Rahman Khan)</t>
  </si>
  <si>
    <t>Test Case No.</t>
  </si>
  <si>
    <t>Test Case</t>
  </si>
  <si>
    <t>Result</t>
  </si>
  <si>
    <t>TC-01</t>
  </si>
  <si>
    <t>Register new company with valid data — expect Company, Settings, CEO Designation, User, Employee all created and a valid JWT returned</t>
  </si>
  <si>
    <t>to do</t>
  </si>
  <si>
    <t>TC-02</t>
  </si>
  <si>
    <t>Submit registration with a missing required field — expect a validation error and no partial records created</t>
  </si>
  <si>
    <t>TC-03</t>
  </si>
  <si>
    <t>Log in with valid credentials — expect access + refresh token returned</t>
  </si>
  <si>
    <t>TC-04</t>
  </si>
  <si>
    <t>Log in with invalid credentials — expect a generic error message, no token issued</t>
  </si>
  <si>
    <t>TC-05</t>
  </si>
  <si>
    <t>Attempt login as a user of a suspended company — expect a specific error and no token issued</t>
  </si>
  <si>
    <t>TC-06</t>
  </si>
  <si>
    <t>Create a Department — expect it visible only within the creating company's list</t>
  </si>
  <si>
    <t>TC-07</t>
  </si>
  <si>
    <t>Attempt to access another company's Department by ID — expect HTTP 404</t>
  </si>
  <si>
    <t>TC-08</t>
  </si>
  <si>
    <t>Create, edit, and delete a Designation — expect changes scoped to own company only</t>
  </si>
  <si>
    <t>TC-09</t>
  </si>
  <si>
    <t>Assign an Employee's manager across a 3+ level hierarchy — expect the correct chain stored</t>
  </si>
  <si>
    <t>TC-10</t>
  </si>
  <si>
    <t>Attempt to set an Employee as their own manager — expect the request rejected</t>
  </si>
  <si>
    <t>Coordination Tasks (Montasim Kabir Mahin)</t>
  </si>
  <si>
    <t>Sprint 1 planning session — select stories from backlog, confirm scope</t>
  </si>
  <si>
    <t>Daily coordination and progress tracking</t>
  </si>
  <si>
    <t>Sprint 1 review and retrospective facilitation</t>
  </si>
  <si>
    <t>Total Implementation Hours</t>
  </si>
  <si>
    <t>Total QA Hours</t>
  </si>
  <si>
    <t>Total Coordination Hours</t>
  </si>
  <si>
    <t>Ordinis — Sprint 2 Planning</t>
  </si>
  <si>
    <t>Sprint Duration: Sep 10 – Sep 23</t>
  </si>
  <si>
    <t>Sprint Goal: Deliver the RBAC engine (Roles as Permission bundles, independent of Designation) and recursive hierarchy resolution, completing the Core Engine's access-control foundation.</t>
  </si>
  <si>
    <t>ST-107</t>
  </si>
  <si>
    <t>- Given an Employee, returns all direct and indirect subordinates
- Given an Employee, returns the full chain of managers up to the top
- Works for flat, 3-level, and 4+ level structures
- Verified with real multi-level test data</t>
  </si>
  <si>
    <t>ST-108</t>
  </si>
  <si>
    <t>- CEO can create a Role with a name and a list of Permission codenames
- A Role is scoped to the CEO's own company
- Roles are retrievable independent of any Designation</t>
  </si>
  <si>
    <t>ST-109</t>
  </si>
  <si>
    <t>- CEO can assign a Role to any Employee in their company
- An Employee can hold more than one Role at once
- CEO can revoke a Role from an Employee</t>
  </si>
  <si>
    <t>ST-110</t>
  </si>
  <si>
    <t>- Employee.has_permission(codename) correctly reflects the Employee's assigned Roles' Permissions
- A protected endpoint rejects the request if the acting Employee lacks the required permission
- Verified: an Employee without a Role cannot perform a Role-gated action</t>
  </si>
  <si>
    <t>Carried Over from Sprint 1</t>
  </si>
  <si>
    <t>(none — Sprint 1 fully completed)</t>
  </si>
  <si>
    <t>Design recursive traversal approach for subordinate/manager resolution over reports_to</t>
  </si>
  <si>
    <t>Implement get_all_subordinates(employee) and get_all_managers(employee) service functions</t>
  </si>
  <si>
    <t>Show subordinate list on the Employee detail view</t>
  </si>
  <si>
    <t>Self-test recursive resolution against a 4-level test hierarchy</t>
  </si>
  <si>
    <t>Design Permission/Role/RolePermission schema, formalizing the Designation-vs-Role separation</t>
  </si>
  <si>
    <t>Create Permission and Role models and migrations</t>
  </si>
  <si>
    <t>Build PermissionSerializer (read-only) and RoleSerializer/ViewSet</t>
  </si>
  <si>
    <t>Build Roles management page (create Role, select Permissions)</t>
  </si>
  <si>
    <t>Self-test Role creation/retrieval and company-level scoping</t>
  </si>
  <si>
    <t>Design EmployeeRole schema (Employee &lt;-&gt; Role assignment)</t>
  </si>
  <si>
    <t>Create EmployeeRole model and migration</t>
  </si>
  <si>
    <t>Build EmployeeRoleSerializer/ViewSet (assign/revoke)</t>
  </si>
  <si>
    <t>Add assign/revoke Role controls to the Employee page</t>
  </si>
  <si>
    <t>Self-test assigning multiple Roles and revoking a Role</t>
  </si>
  <si>
    <t>Design the HasPermission / PermissionRequiredMixin enforcement approach</t>
  </si>
  <si>
    <t>Pause</t>
  </si>
  <si>
    <t>Implement Employee.has_permission(), HasPermission DRF permission class, and PermissionRequiredMixin; apply across organization and rbac ViewSets</t>
  </si>
  <si>
    <t>Hide/disable UI controls the current user lacks permission for</t>
  </si>
  <si>
    <t>Self-test that a permission-gated action is blocked without the permission and allowed with it</t>
  </si>
  <si>
    <t>TC-11</t>
  </si>
  <si>
    <t>Get subordinates for a mid-level manager in a 4-level tree — expect the correct full descendant list</t>
  </si>
  <si>
    <t>TC-12</t>
  </si>
  <si>
    <t>Get the manager chain for a leaf-level Employee — expect the correct full ancestor chain</t>
  </si>
  <si>
    <t>TC-13</t>
  </si>
  <si>
    <t>Create a Role with a chosen Permission set — expect it retrievable with the correct Permissions</t>
  </si>
  <si>
    <t>TC-14</t>
  </si>
  <si>
    <t>Create a Role in Company A — expect it invisible to Company B</t>
  </si>
  <si>
    <t>TC-15</t>
  </si>
  <si>
    <t>Assign two Roles to one Employee — expect both retained simultaneously</t>
  </si>
  <si>
    <t>TC-16</t>
  </si>
  <si>
    <t>Revoke one Role from an Employee — expect the associated permission no longer granted</t>
  </si>
  <si>
    <t>TC-17</t>
  </si>
  <si>
    <t>Employee without the required permission attempts a protected action — expect the request blocked</t>
  </si>
  <si>
    <t>TC-18</t>
  </si>
  <si>
    <t>Employee with the correct permission performs the same action — expect it allowed</t>
  </si>
  <si>
    <t>Sprint 2 planning session — select stories from backlog, confirm scope</t>
  </si>
  <si>
    <t>Sprint 2 review and retrospective facilitation</t>
  </si>
  <si>
    <t>Ordinis — Sprint 3 Planning</t>
  </si>
  <si>
    <t>Sprint Duration: Sep 30 – Oct 7</t>
  </si>
  <si>
    <t>Sprint Goal: Close the Sprint 2 RBAC/tenant-safety gaps, then deliver the Approval Chain and approve/reject engine, the shared UI kit and app shell, Task create/submit, delegation, salary-data restriction, and check-in/out.</t>
  </si>
  <si>
    <t>ST-111</t>
  </si>
  <si>
    <t>PB-11: As the System, I want the unfinished Sprint 2 RBAC work and the gaps left in PB-01, PB-07, and PB-10 closed, so that every protected action is really permission-checked and no company can reach another company's data.</t>
  </si>
  <si>
    <t>- HasPermission blocks a gated action when the Employee lacks the Permission
- A user without a company can never be attached to another company (get_effective_company removed)
- A new company's CEO gets a full-access CEO Role at registration
- An Employee cannot be their own manager or create a reports_to cycle
- Registration page, subordinate list, and Role assign/revoke on the Employee page exist
- Employee removal ends the person's access; employee_code is unique per company; JWT refresh works</t>
  </si>
  <si>
    <t>ST-112</t>
  </si>
  <si>
    <t>PB-12: As a CEO, I want to define a multi-step Approval Chain for leave requests, so that my company's actual approval process is enforced by the system.</t>
  </si>
  <si>
    <t>- CEO can create a chain with ordered steps, each tied to a Role
- Step order is unique inside a chain
- Chain is scoped to own company (cross-company access returns 404)
- Chain and steps can be edited and deleted</t>
  </si>
  <si>
    <t>ST-113</t>
  </si>
  <si>
    <t>PB-13: As an Approver, I want to approve or reject a pending request with a comment, so that decisions and reasons are recorded.</t>
  </si>
  <si>
    <t>- Only a holder of the current step's Role can act
- Approve moves the request to the next step; the last approval completes it
- Reject ends the request; a comment is stored with every action
- The same step cannot be acted on twice</t>
  </si>
  <si>
    <t>ST-114</t>
  </si>
  <si>
    <t>PB-16: As a User, I want every screen to use the same status badges, metric cards, empty states, and chart cards, so that the product looks consistent and is easy to learn.</t>
  </si>
  <si>
    <t>- StatusPill, MetricCard, EmptyState, and ChartCard components exist
- Status is shown by color and text, never color alone
- All four follow the design system colors and 150–300ms animations
- A showcase page at /dev/ui-kit displays every component</t>
  </si>
  <si>
    <t>ST-115</t>
  </si>
  <si>
    <t>PB-20: As a User, I want a polished app shell (grouped sidebar, navbar, notification dropdown, company switcher, plan badge), so that the product feels professional and is easy to navigate.</t>
  </si>
  <si>
    <t>- Sidebar has collapsible groups (Organization, Workflow, Tasks, Attendance, Finance) and highlights the active item
- A menu item is hidden when the user lacks the Permission for it
- Top bar shows the page title, search box, company name, notification bell, and user menu
- The bell opens a dropdown with an empty state when there are no notifications
- The plan badge next to the logo shows the plan name only when the server provides one (never hard-coded)</t>
  </si>
  <si>
    <t>ST-116</t>
  </si>
  <si>
    <t>PB-14 + PB-15: As a Department Head, I want to create Tasks and assign them with a priority and deadline, and as an Employee I want to submit a Task only through valid status changes, so that work and progress are tracked correctly.</t>
  </si>
  <si>
    <t>- Task has title, assignee, priority, deadline, and status (default Not Started)
- Assignee must belong to the same company; assigned-by is set by the server
- Only users with create_task can create, edit, or delete
- Only valid status changes are accepted; an invalid one returns a clear error
- Only the assignee can submit a Task</t>
  </si>
  <si>
    <t>ST-117</t>
  </si>
  <si>
    <t>PB-17: As a Department Head, I want to delegate my approval authority to someone else for a date range, so that requests are not stuck when I'm on leave.</t>
  </si>
  <si>
    <t>- Delegation has delegate, start date, and end date
- End date cannot be before start date; cannot delegate to self
- Delegate must be in the same company</t>
  </si>
  <si>
    <t>ST-118</t>
  </si>
  <si>
    <t>PB-18: As an Accountant, I want to define a Salary Structure per employee and keep salary and financial data restricted to users with finance permission, so that confidential pay data stays private regardless of hierarchy.</t>
  </si>
  <si>
    <t>- A Salary Structure (base salary and allowances) can be defined per Employee
- Salary Structure endpoints require the finance Permission
- Access does not depend on the reporting hierarchy
- Salary UI is hidden for users without the Permission</t>
  </si>
  <si>
    <t>ST-119</t>
  </si>
  <si>
    <t>PB-19: As an Employee, I want to check in and check out once per day, so that my attendance is recorded accurately.</t>
  </si>
  <si>
    <t>- One check-in and one check-out per day, using the company's local time
- A second check-in on the same day is rejected with a clear message
- Check-out before check-in is rejected
- Today's status is shown on the Attendance page</t>
  </si>
  <si>
    <t>Carried Over from Sprint 2</t>
  </si>
  <si>
    <t>Done (in ST-111)</t>
  </si>
  <si>
    <t>Implement HasPermission (real permission check) and apply it to gated actions</t>
  </si>
  <si>
    <t>Self-test that a gated action is blocked without the permission</t>
  </si>
  <si>
    <t>Design permission-enforcement flow, CEO Role bootstrap at registration, and tenant-safe company resolution</t>
  </si>
  <si>
    <t>Seed the full Permission set and verify all migrations on a fresh database</t>
  </si>
  <si>
    <t>Fix HasPermission and IsCompanyActive; remove get_effective_company from mixins, views, serializers, and MeView</t>
  </si>
  <si>
    <t>Create the CEO Role inside the atomic company registration; add PermissionRequiredMixin to RoleViewSet; move RBAC into the rbac app</t>
  </si>
  <si>
    <t>Block self-manager and reports_to cycles on Employee create/update</t>
  </si>
  <si>
    <t>Build the Company Registration page (form, validation, API call, auto-login)</t>
  </si>
  <si>
    <t>Add subordinate list to Employee detail and Role assign/revoke to the Employee page; hide controls by permission</t>
  </si>
  <si>
    <t>Self-test 403 without permission, 200 with it, cross-company access, cycle block, and fresh-DB registration</t>
  </si>
  <si>
    <t>Design ApprovalChain and ApprovalStep schema (ordered steps, approver Role)</t>
  </si>
  <si>
    <t>Create the approvals app models and migrations; seed the chain-management Permission</t>
  </si>
  <si>
    <t>Build ApprovalChain/ApprovalStep serializers and ViewSets (company-scoped, step order unique)</t>
  </si>
  <si>
    <t>Build the Approval Chains page (create chain, add ordered steps with Role, edit, delete)</t>
  </si>
  <si>
    <t>Self-test chain creation, duplicate step order, and cross-company access</t>
  </si>
  <si>
    <t>Design ApprovalInstance and ApprovalAction flow (step pointer, approve/reject rules)</t>
  </si>
  <si>
    <t>Create ApprovalInstance (generic relation) and ApprovalAction models and migrations</t>
  </si>
  <si>
    <t>Build approve/reject actions: step-Role check, step advance, reject ends request, comment stored, double action blocked</t>
  </si>
  <si>
    <t>Build the pending-approvals list with an approve/reject dialog and comment box</t>
  </si>
  <si>
    <t>Self-test full multi-step approval, a reject, and an unauthorized approver</t>
  </si>
  <si>
    <t>Design the UI component kit (props, colors, empty and loading states) from the design system</t>
  </si>
  <si>
    <t>Build StatusPill, MetricCard, EmptyState, and ChartCard components and the /dev/ui-kit showcase page</t>
  </si>
  <si>
    <t>Self-test every component in the showcase page at desktop and mobile widths</t>
  </si>
  <si>
    <t>Design the grouped sidebar structure, top bar layout, and permission-based menu rules from the design system</t>
  </si>
  <si>
    <t>Build the collapsible grouped Sidebar with active-item highlight and permission-based items</t>
  </si>
  <si>
    <t>Build the top bar: page title, search box, company name, notification bell dropdown with empty state, and user menu</t>
  </si>
  <si>
    <t>Add the PlanBadge component (shows the plan name only when the server provides one; nothing hard-coded)</t>
  </si>
  <si>
    <t>Self-test sidebar groups, hidden items for a low-permission user, and the bell dropdown</t>
  </si>
  <si>
    <t>Design the Task schema (assignee, assigned-by, priority, deadline, status) and the allowed status-transition map</t>
  </si>
  <si>
    <t>Create the tasks app Task model and migration; seed the create_task Permission</t>
  </si>
  <si>
    <t>Build TaskSerializer and TaskViewSet (company-scoped, assigned-by set by server, same-company assignee check)</t>
  </si>
  <si>
    <t>Build the submit action with transition validation and an assignee-only check</t>
  </si>
  <si>
    <t>Build the Tasks page (list, create, edit, delete; priority badge, deadline) with a Submit button for the assignee</t>
  </si>
  <si>
    <t>Self-test task CRUD, cross-company assignee, a valid submit, an invalid transition, and a non-assignee submit</t>
  </si>
  <si>
    <t>Design DelegationRule schema (delegator, delegate, date range)</t>
  </si>
  <si>
    <t>Create DelegationRule model and migration</t>
  </si>
  <si>
    <t>Build DelegationRule serializer and ViewSet with date-range, self-delegation, and same-company validation</t>
  </si>
  <si>
    <t>Build the Delegation page (create, list, delete)</t>
  </si>
  <si>
    <t>Self-test valid delegation, reversed dates, and self-delegation</t>
  </si>
  <si>
    <t>Design SalaryStructure schema and finance-Permission gating (hierarchy-independent)</t>
  </si>
  <si>
    <t>Create the payroll app SalaryStructure model and migration; seed the finance Permission</t>
  </si>
  <si>
    <t>Build SalaryStructure serializer and ViewSet gated by the finance Permission (company-scoped)</t>
  </si>
  <si>
    <t>Build the Salary Structures page, hidden for users without the Permission</t>
  </si>
  <si>
    <t>Self-test access with and without the finance Permission</t>
  </si>
  <si>
    <t>Design the Attendance schema and the one-check-in-per-day rule (company local time)</t>
  </si>
  <si>
    <t>Create the attendance app Attendance model and migration (unique per employee per day)</t>
  </si>
  <si>
    <t>Build check-in and check-out actions with duplicate and out-of-order validation</t>
  </si>
  <si>
    <t>Build the Attendance page with Check In / Check Out buttons and today's status</t>
  </si>
  <si>
    <t>Self-test check-in, duplicate check-in, and check-out before check-in</t>
  </si>
  <si>
    <t>Cross-Test Assignment — every story is tested by a member who did not write it</t>
  </si>
  <si>
    <t>Story</t>
  </si>
  <si>
    <t>Code Owner</t>
  </si>
  <si>
    <t>Selenium Tester</t>
  </si>
  <si>
    <t>Sprint 2 RBAC carry-over</t>
  </si>
  <si>
    <t>Approval Chain</t>
  </si>
  <si>
    <t>Approve / reject</t>
  </si>
  <si>
    <t>UI component kit</t>
  </si>
  <si>
    <t>App shell</t>
  </si>
  <si>
    <t>Task create, assign, submit</t>
  </si>
  <si>
    <t>Approval delegation</t>
  </si>
  <si>
    <t>Salary data restriction</t>
  </si>
  <si>
    <t>Check-in / check-out</t>
  </si>
  <si>
    <t>Overall Testing — Selenium Cross-Review QA Pass (each tester tests another member's story)</t>
  </si>
  <si>
    <t>Tester</t>
  </si>
  <si>
    <t>TC-19</t>
  </si>
  <si>
    <t>[Selenium] Log in as an Employee without the manage_departments Permission and try to add a Department — expect an error message and no record created</t>
  </si>
  <si>
    <t>Passed</t>
  </si>
  <si>
    <t>TC-20</t>
  </si>
  <si>
    <t>[Selenium] Log in as a CEO right after registration and add a Department — expect success (CEO Role assigned automatically)</t>
  </si>
  <si>
    <t>TC-21</t>
  </si>
  <si>
    <t>[Selenium] Register a new company from the registration page — expect a redirect to the dashboard as CEO of that company only</t>
  </si>
  <si>
    <t>TC-22</t>
  </si>
  <si>
    <t>[Selenium] Try to set an Employee as their own manager or create a reports_to cycle — expect the request blocked with a message</t>
  </si>
  <si>
    <t>TC-23</t>
  </si>
  <si>
    <t>[Selenium] Open an Employee detail page — expect the subordinate list; assign then revoke a Role — expect the page to update</t>
  </si>
  <si>
    <t>TC-24</t>
  </si>
  <si>
    <t>[Selenium] Create an Approval Chain with three ordered steps — expect the steps saved in order</t>
  </si>
  <si>
    <t>TC-25</t>
  </si>
  <si>
    <t>[Selenium] Add a step with a duplicate order or no Role — expect a validation error</t>
  </si>
  <si>
    <t>TC-26</t>
  </si>
  <si>
    <t>[Selenium] Log in as Company B and open Company A's chain by ID — expect HTTP 404</t>
  </si>
  <si>
    <t>TC-27</t>
  </si>
  <si>
    <t>[Selenium] Approve as the holder of the current step's Role — expect the request to move to the next step</t>
  </si>
  <si>
    <t>TC-28</t>
  </si>
  <si>
    <t>[Selenium] Reject with a comment — expect the request to end and the comment to be shown in the history</t>
  </si>
  <si>
    <t>TC-29</t>
  </si>
  <si>
    <t>[Selenium] Try to approve without the step's Role, or act on the same step twice — expect the action blocked</t>
  </si>
  <si>
    <t>TC-30</t>
  </si>
  <si>
    <t>[Selenium] Open /dev/ui-kit — expect Success, Warning, and Failed status pills, each with color and text</t>
  </si>
  <si>
    <t>TC-31</t>
  </si>
  <si>
    <t>[Selenium] Open /dev/ui-kit — expect a MetricCard with value and delta, and an EmptyState whose action button is clickable</t>
  </si>
  <si>
    <t>TC-32</t>
  </si>
  <si>
    <t>Click a sidebar group header — expect its links to expand and collapse</t>
  </si>
  <si>
    <t>TC-33</t>
  </si>
  <si>
    <t>TC-34</t>
  </si>
  <si>
    <t>TC-35</t>
  </si>
  <si>
    <t>Click the notification bell — expect a dropdown with an empty state; click outside — expect it to close</t>
  </si>
  <si>
    <t>TC-36</t>
  </si>
  <si>
    <t>[Selenium] Create a Task with priority and deadline for an Employee — expect it in the Tasks list</t>
  </si>
  <si>
    <t>TC-37</t>
  </si>
  <si>
    <t>[Selenium] Assign a Task to an Employee of another company — expect the request rejected</t>
  </si>
  <si>
    <t>TC-38</t>
  </si>
  <si>
    <t>[Selenium] Edit and delete a Task; log in without create_task — expect no create/edit/delete buttons</t>
  </si>
  <si>
    <t>TC-39</t>
  </si>
  <si>
    <t>[Selenium] As the assignee, submit an In Progress Task — expect the status to become Submitted</t>
  </si>
  <si>
    <t>TC-40</t>
  </si>
  <si>
    <t>[Selenium] Try a move that is not allowed (Completed to Not Started) — expect a clear error</t>
  </si>
  <si>
    <t>TC-41</t>
  </si>
  <si>
    <t>[Selenium] As a different Employee, try to submit someone else's Task — expect the request blocked</t>
  </si>
  <si>
    <t>TC-42</t>
  </si>
  <si>
    <t>[Selenium] Create a delegation with a valid date range — expect it in the list</t>
  </si>
  <si>
    <t>TC-43</t>
  </si>
  <si>
    <t>[Selenium] Enter an end date before the start date — expect a validation error</t>
  </si>
  <si>
    <t>TC-44</t>
  </si>
  <si>
    <t>[Selenium] Delegate to yourself — expect the request rejected</t>
  </si>
  <si>
    <t>TC-45</t>
  </si>
  <si>
    <t>[Selenium] Log in without the finance Permission and open Salary Structures — expect no menu item and HTTP 403 from the API</t>
  </si>
  <si>
    <t>TC-46</t>
  </si>
  <si>
    <t>[Selenium] Log in with the finance Permission and create and edit a Salary Structure — expect success</t>
  </si>
  <si>
    <t>Failed</t>
  </si>
  <si>
    <t>TC-47</t>
  </si>
  <si>
    <t>[Selenium] Log in as a manager above the Accountant in the hierarchy but without the finance Permission — expect salary data still blocked</t>
  </si>
  <si>
    <t>TC-48</t>
  </si>
  <si>
    <t>[Selenium] Click Check In — expect today's status to show the check-in time</t>
  </si>
  <si>
    <t>TC-49</t>
  </si>
  <si>
    <t>[Selenium] Click Check In a second time on the same day — expect a clear error message</t>
  </si>
  <si>
    <t>TC-50</t>
  </si>
  <si>
    <t>[Selenium] Log in as a new Employee and click Check Out before Check In — expect the request blocked</t>
  </si>
  <si>
    <t>Sprint 3 planning session — select stories from backlog, confirm scope</t>
  </si>
  <si>
    <t>Cross-test hand-off tracking — confirm each story is tested by a non-owner</t>
  </si>
  <si>
    <t>Sprint 3 review and retrospective facilitation</t>
  </si>
  <si>
    <t>Ordinis — Sprint 4 Planning</t>
  </si>
  <si>
    <t>Sprint Duration: Oct 7 – Oct 14</t>
  </si>
  <si>
    <t>Sprint Goal: Finish the Sprint 3 Salary Structure carry-over, then deliver paginated and documented APIs, Role dashboards, the Break-Glass support process and platform admin panel, the Task Kanban board with daily progress, the Action Inbox, Payslip generation, and leave application with balance check.</t>
  </si>
  <si>
    <t>ST-120</t>
  </si>
  <si>
    <t>PB-40: As an Accountant, I want the unfinished Sprint 3 Salary Structure work (database, API, self-test and the Edit/Delete screen) completed, so that confidential pay data can be defined, edited and deleted per employee and stays restricted to users with the finance Permission.</t>
  </si>
  <si>
    <t>- A Salary Structure (base salary and allowances) can be created, edited and deleted per Employee
- Every Salary Structure endpoint requires the finance Permission, whatever the reporting hierarchy
- One structure per Employee; a negative base salary or allowance is rejected
- The page is hidden for users without the Permission; Edit and Delete work on the page
- TC-46 (create and edit), which Failed in Sprint 3, passes when run again</t>
  </si>
  <si>
    <t>ST-121</t>
  </si>
  <si>
    <t>PB-21: As a Developer, I want all list endpoints paginated and the project set up with requirements, environment example, and README, so that the system scales and can be installed by anyone.</t>
  </si>
  <si>
    <t>- Every list endpoint returns pages (page size 20) and the frontend lists still work
- requirements.txt installs everything on a clean machine
- .env.example lists every environment variable with no secrets
- README explains install, migrate, run backend and frontend, and run the tests</t>
  </si>
  <si>
    <t>ST-122</t>
  </si>
  <si>
    <t>PB-22: As a User, I want a dashboard made for my Role (CEO, Manager, HR, Accountant, Employee), so that I see only what matters to my work.</t>
  </si>
  <si>
    <t>- After login the user lands on a dashboard; the Dashboard menu item is no longer "Soon"
- What a dashboard shows is decided by the user's Permissions, not by the Designation name
- Each dashboard has a row of MetricCards with real numbers from the API and at least one chart
- A user never sees numbers they lack the Permission for (for example salary data)
- Loading and empty states use the UI kit</t>
  </si>
  <si>
    <t>ST-123</t>
  </si>
  <si>
    <t>PB-23: As the Platform Owner, I want a Break-Glass access process for support, so that I can help a client without having default access to their data.</t>
  </si>
  <si>
    <t>- A Platform Admin sends a Support Access Request with a reason
- The company CEO sees the request and approves or denies it
- Approval gives time-limited access that expires on its own
- Without an approved, unexpired request the Platform Admin cannot read the company's data
- Every use is recorded in an Impersonation Log the company can read</t>
  </si>
  <si>
    <t>ST-124</t>
  </si>
  <si>
    <t>PB-24: As the Platform Owner, I want an admin panel for companies, support tickets, and Break-Glass requests, so that I can operate the platform without seeing client data by default.</t>
  </si>
  <si>
    <t>- The panel lists companies, support tickets, and Break-Glass requests
- A company can be suspended and activated; users of a suspended company cannot log in
- The panel shows no employee, task, or salary data
- Only Platform Admin accounts can open it; everybody else is blocked and does not see the menu item</t>
  </si>
  <si>
    <t>ST-125</t>
  </si>
  <si>
    <t>PB-25 + PB-26: As a Department Head, I want to see Tasks on a Kanban board (To Do, In Progress, Review, Done), and as an Employee I want to log daily progress on a multi-day task, so that my manager can see progress at a glance without me uploading code or files.</t>
  </si>
  <si>
    <t>- The Kanban board shows the four columns with a count on each and a card per Task (title, priority, assignee, deadline)
- A card can only move along the allowed status path; a wrong move is rejected with a clear message
- The assignee can add a daily progress entry (text, progress percent, optional blocker, optional external link); no file or code upload
- The entries show as a timeline on the Task; only the assignee can add them; another company's Task is not reachable</t>
  </si>
  <si>
    <t>ST-126</t>
  </si>
  <si>
    <t>PB-27: As a User, I want a personalized Action Inbox combining my pending tasks, approvals, and notifications, so that I know what needs my attention in one place.</t>
  </si>
  <si>
    <t>- One list shows my open Tasks, the approvals waiting for me, and my unread notifications
- A Notification is created when a Task is assigned to me or an approval reaches me
- Other users' and other companies' items never appear; each item opens its page
- Marking a notification read removes it from the unread list; an empty inbox shows an empty state</t>
  </si>
  <si>
    <t>ST-127</t>
  </si>
  <si>
    <t>PB-28: As an Accountant, I want to generate a Payslip for a given month without creating duplicates, so that payroll runs stay accurate.</t>
  </si>
  <si>
    <t>- A Payslip for an Employee and month shows gross, deductions, and net, calculated from the Salary Structure
- A second Payslip for the same Employee and month is rejected (also enforced in the database)
- Generating needs the finance Permission, whatever the reporting hierarchy
- An Employee without a Salary Structure gets a clear message; an Employee can open only their own Payslip</t>
  </si>
  <si>
    <t>ST-128</t>
  </si>
  <si>
    <t>PB-29: As an Employee, I want to apply for leave and have my balance validated automatically, so that I can't accidentally over-request leave.</t>
  </si>
  <si>
    <t>- A company can define Leave Types with days allowed per year
- An Employee can apply with leave type, start date, end date, and reason; the request starts as Pending
- A request above the remaining balance is rejected with a message that shows the remaining days
- An end date before the start date is rejected; an Employee sees only their own requests</t>
  </si>
  <si>
    <t>Carried Over from Sprint 3</t>
  </si>
  <si>
    <t>Done (in ST-120)</t>
  </si>
  <si>
    <t>Build SalaryStructure serializer and ViewSet gated by the finance Permission</t>
  </si>
  <si>
    <t>Selenium</t>
  </si>
  <si>
    <t>TC-46 (create and edit a Salary Structure) Failed in Sprint 3 and is run again as TC-51</t>
  </si>
  <si>
    <t>Build SalaryStructure serializer and ViewSet gated by the finance Permission (no hierarchy rule, one structure per Employee)</t>
  </si>
  <si>
    <t>Fix the Salary Structures page: Edit and Delete work, statuses show correctly, UI kit components are used, page is hidden without the Permission</t>
  </si>
  <si>
    <t>Self-test create, edit, delete, access with and without the finance Permission, and the manager-above-Accountant case</t>
  </si>
  <si>
    <t>Design the pagination format and what changes in the frontend lists</t>
  </si>
  <si>
    <t>Wire pagination into every list endpoint and keep the standard response format</t>
  </si>
  <si>
    <t>Write requirements.txt, .env.example, and the README (install, migrate, run, test)</t>
  </si>
  <si>
    <t>Update every frontend list service and page to read paged results and add page controls</t>
  </si>
  <si>
    <t>Self-test a long list on two pages and a clean install from the README</t>
  </si>
  <si>
    <t>Design the five Role dashboards (which MetricCards and charts, which Permission each needs)</t>
  </si>
  <si>
    <t>Build the dashboard summary endpoint(s) that return only what the user's Permissions allow</t>
  </si>
  <si>
    <t>Build the CEO, Manager, HR, Accountant, and Employee dashboards with MetricCards and charts (violet palette)</t>
  </si>
  <si>
    <t>Land on the dashboard after login and turn the Dashboard menu item into a link</t>
  </si>
  <si>
    <t>Self-test each dashboard, a user without the Permission, loading and empty states, desktop and mobile</t>
  </si>
  <si>
    <t>Design the Break-Glass flow (request, approve or deny, expiry, log) and the Platform Admin account</t>
  </si>
  <si>
    <t>Create SupportAccessRequest and ImpersonationLog models and migrations; mark Platform Admin accounts</t>
  </si>
  <si>
    <t>Build request, approve, deny, automatic expiry, gated company-data access, and the access log</t>
  </si>
  <si>
    <t>Build the CEO screen to review requests and read the Impersonation Log</t>
  </si>
  <si>
    <t>Self-test approve, deny, expiry, access without an approved request, and the log entries</t>
  </si>
  <si>
    <t>Design the admin panel pages and the rule that no client data is shown</t>
  </si>
  <si>
    <t>Build the Platform Admin endpoints (companies, suspend and activate, support tickets, requests), allowed only for Platform Admins</t>
  </si>
  <si>
    <t>Build the admin panel pages with menu item shown only to Platform Admins</t>
  </si>
  <si>
    <t>Self-test suspend and activate, a CEO opening the panel, and that no client data shows</t>
  </si>
  <si>
    <t>Design the Kanban columns and status mapping and the TaskProgressLog schema</t>
  </si>
  <si>
    <t>Create the TaskProgressLog model and migration</t>
  </si>
  <si>
    <t>Build the progress log endpoints (assignee only) and the Kanban data with allowed moves</t>
  </si>
  <si>
    <t>Build the Kanban board and the progress timeline on the Task</t>
  </si>
  <si>
    <t>Self-test card moves, an invalid move, adding progress as the assignee and as someone else</t>
  </si>
  <si>
    <t>Design the Notification schema and the Action Inbox sources</t>
  </si>
  <si>
    <t>Create the Notification model and migration</t>
  </si>
  <si>
    <t>Build notification creation (Task assigned, approval reached), mark-read, and the inbox aggregation</t>
  </si>
  <si>
    <t>Build the Action Inbox page and connect the notification bell</t>
  </si>
  <si>
    <t>Self-test each inbox source, mark read, and that nobody else's items appear</t>
  </si>
  <si>
    <t>Design the Payslip schema, the calculation, and the one-per-month rule</t>
  </si>
  <si>
    <t>Create the Payslip model and migration with a unique Employee and month</t>
  </si>
  <si>
    <t>Build generate_payslip with duplicate prevention and the finance Permission check</t>
  </si>
  <si>
    <t>Build the Payslip generate and view pages</t>
  </si>
  <si>
    <t>Self-test generate, duplicate, no Salary Structure, and own-Payslip-only access</t>
  </si>
  <si>
    <t>Design the LeaveType and LeaveRequest schema and the balance calculation</t>
  </si>
  <si>
    <t>Create the LeaveType and LeaveRequest models and migrations</t>
  </si>
  <si>
    <t>Build apply_leave with balance validation and date checks</t>
  </si>
  <si>
    <t>Build the leave application page and the My Leave list</t>
  </si>
  <si>
    <t>Self-test an in-balance request, an over-balance request, and reversed dates</t>
  </si>
  <si>
    <t>Cross-Test Assignment — every story is tested by a member who did not write its code</t>
  </si>
  <si>
    <t>Salary Structure carry-over</t>
  </si>
  <si>
    <t>Pagination and project setup</t>
  </si>
  <si>
    <t>Role dashboards</t>
  </si>
  <si>
    <t>Break-Glass support access</t>
  </si>
  <si>
    <t>Platform admin panel</t>
  </si>
  <si>
    <t>Kanban board and daily progress</t>
  </si>
  <si>
    <t>Action Inbox</t>
  </si>
  <si>
    <t>Payslip generation</t>
  </si>
  <si>
    <t>Leave application with balance check</t>
  </si>
  <si>
    <t>Overall Testing — Selenium Cross-Review QA Pass (each tester tests another member's code)</t>
  </si>
  <si>
    <t>TC-51</t>
  </si>
  <si>
    <t>[Selenium] Log in with the finance Permission, create a Salary Structure and edit it — expect the saved values in the list (TC-46 run again)</t>
  </si>
  <si>
    <t>TC-52</t>
  </si>
  <si>
    <t>[Selenium] Delete a Salary Structure — expect it gone from the list; log in without the Permission — expect no menu item</t>
  </si>
  <si>
    <t>TC-53</t>
  </si>
  <si>
    <t>[Selenium] Open a list with more than one page — expect page controls and that the next page loads</t>
  </si>
  <si>
    <t>TC-54</t>
  </si>
  <si>
    <t>[Selenium] Log in as a CEO — expect the dashboard with MetricCards showing numbers and a chart</t>
  </si>
  <si>
    <t>TC-55</t>
  </si>
  <si>
    <t>[Selenium] Log in as an Employee — expect only Employee metrics and no salary or company-wide numbers</t>
  </si>
  <si>
    <t>TC-56</t>
  </si>
  <si>
    <t>[Selenium] Log in as an Accountant — expect finance metrics and no Task management numbers</t>
  </si>
  <si>
    <t>TC-57</t>
  </si>
  <si>
    <t>[Selenium] As a Platform Admin send a Support Access Request with a reason — expect it Pending; as the CEO see it in the list</t>
  </si>
  <si>
    <t>TC-58</t>
  </si>
  <si>
    <t>[Selenium] As the CEO approve the request — expect an expiry time and a log entry; without an approved request — expect access blocked</t>
  </si>
  <si>
    <t>TC-59</t>
  </si>
  <si>
    <t>[Selenium] As a Platform Admin open the panel and suspend a company — expect its users cannot log in; activate it — expect they can</t>
  </si>
  <si>
    <t>TC-60</t>
  </si>
  <si>
    <t>[Selenium] As a CEO open the admin panel address — expect access blocked and no menu item</t>
  </si>
  <si>
    <t>TC-61</t>
  </si>
  <si>
    <t>[Selenium] Open the Kanban board — expect the four columns with counts and Task cards</t>
  </si>
  <si>
    <t>TC-62</t>
  </si>
  <si>
    <t>[Selenium] As the assignee add a daily progress entry — expect it on the Task timeline</t>
  </si>
  <si>
    <t>TC-63</t>
  </si>
  <si>
    <t>[Selenium] As a different Employee try to add progress to someone else's Task — expect it blocked</t>
  </si>
  <si>
    <t>TC-64</t>
  </si>
  <si>
    <t>[Selenium] Assign a Task and send an approval to a user — expect both in that user's Action Inbox</t>
  </si>
  <si>
    <t>TC-65</t>
  </si>
  <si>
    <t>[Selenium] Mark a notification read — expect it leaves the unread list; expect no items of other users</t>
  </si>
  <si>
    <t>TC-66</t>
  </si>
  <si>
    <t>[Selenium] Generate a Payslip with the finance Permission — expect gross, deductions, and net</t>
  </si>
  <si>
    <t>TC-67</t>
  </si>
  <si>
    <t>[Selenium] Generate the same month again — expect a clear duplicate message</t>
  </si>
  <si>
    <t>TC-68</t>
  </si>
  <si>
    <t>[Selenium] Apply for leave within the balance — expect it listed as Pending</t>
  </si>
  <si>
    <t>TC-69</t>
  </si>
  <si>
    <t>[Selenium] Apply for more days than the balance — expect a clear message with the remaining days</t>
  </si>
  <si>
    <t>TC-70</t>
  </si>
  <si>
    <t>[Selenium] Enter an end date before the start date — expect a validation message</t>
  </si>
  <si>
    <t>Sprint 4 planning session — select stories from backlog, confirm scope</t>
  </si>
  <si>
    <t>Sprint 4 review and retrospective facilitation</t>
  </si>
  <si>
    <t>Ordinis — Sprint 5 Planning</t>
  </si>
  <si>
    <t>Sprint Duration: Oct 14 – Oct 21</t>
  </si>
  <si>
    <t>Sprint Goal: Finish the product. Connect leave to the Approval Chain, add the Audit Log, Analytics, Billing and the attendance calendar, then fill the system with demo data, build the regression suite, update every document and rehearse the full demo.</t>
  </si>
  <si>
    <t>ST-129</t>
  </si>
  <si>
    <t>As an Employee, I want my leave request to follow my company's Approval Chain, and approvers to approve or reject it, so that leave is decided by the right people in the right order.
(PB-30)</t>
  </si>
  <si>
    <t>- Applying for leave starts the company's leave Approval Chain; the request stays Pending until its last step is approved
- Each step's approvers (role holders and their active delegates) see the request in Pending Approvals and in their Action Inbox; the applicant never decides their own request
- Approving the last step makes the leave Approved; a rejection with a comment makes it Rejected; both send a Notification to the applicant and a Rejected leave gives its days back
- If the company has no leave chain, or a step has no approver, the request goes to the CEO instead of getting stuck
- A decided request cannot be decided again; another company's request is not reachable</t>
  </si>
  <si>
    <t>ST-130</t>
  </si>
  <si>
    <t>As a Presenter, I want a command that fills the system with realistic demo data, so that every screen looks real during the demo.
(PB-31)</t>
  </si>
  <si>
    <t>- One command creates a demo company with a CEO, departments, designations, a multi-level hierarchy, Roles, and a sample user for every dashboard (CEO, Manager, HR, Accountant, Employee)
- It adds Tasks in all four Kanban columns with progress entries, a month of attendance, leave types and leave requests in every status, salary structures and payslips, an approval chain with requests waiting, and notifications
- Running it twice never duplicates data; a --reset option removes only the demo company; it refuses to run with production settings
- Every screen shows real-looking data after the command</t>
  </si>
  <si>
    <t>ST-131</t>
  </si>
  <si>
    <t>As a Developer, I want a Selenium regression suite and backend tests, so that changes cannot silently break working features.
(PB-32)</t>
  </si>
  <si>
    <t>- One command runs every backend test and one command runs every Selenium test case (TC-01 onward) against the demo company, printing pass or fail for each test case
- Every API endpoint has tests for: login required, the Permission check, and another company's data returning 404
- A shared Selenium helper (login that works after the dashboard redirect, one place for the frontend address, test users) replaces the copies in each test file
- The README explains how to run both suites</t>
  </si>
  <si>
    <t>ST-132</t>
  </si>
  <si>
    <t>As a Reviewer, I want the SRS, SDS, and structure documents to match the delivered system, so that the documents are trustworthy.
(PB-33)</t>
  </si>
  <si>
    <t>- The SRS, SDS, project structure, ER diagram, design system and the other project documents describe only what the delivered system really has
- The SDS data dictionary and API table match the code (models, fields, endpoints); anything not built is marked as future work
- The SRS traceability table marks every requirement Done, Partly or Not built, with the story that delivered it
- The documents are checked against the latest code by someone other than the author</t>
  </si>
  <si>
    <t>ST-133</t>
  </si>
  <si>
    <t>As a Team, I want a full demo rehearsal with a bug-fix buffer, so that the final presentation runs smoothly.
(PB-34)</t>
  </si>
  <si>
    <t>- A written demo script walks every role through the main features in order, in about 15 minutes
- The script is rehearsed end to end twice on a clean install with demo data; every slip is logged and then fixed or listed as known
- At least 6 hours stay free as a bug-fix buffer, and no new feature is added after the first rehearsal
- The final build passes both test suites, npm run lint and npm run build</t>
  </si>
  <si>
    <t>ST-134</t>
  </si>
  <si>
    <t>As a CEO, I want an Analytics page with attendance and task-completion charts, so that I can see my company's health.
(PB-35)</t>
  </si>
  <si>
    <t>- The CEO opens an Analytics page with a row of MetricCards (attendance rate, task completion rate, overdue tasks, average team workload)
- A line chart shows the attendance rate over the last 6 months and a grouped bar chart shows completed and pending Tasks by department
- All numbers come from the real attendance and task data of the user's own company; a month without data shows 0, not an error
- Users without the analytics Permission never see the menu item or the numbers; the page has loading and empty states</t>
  </si>
  <si>
    <t>ST-135</t>
  </si>
  <si>
    <t>As a CEO, I want every sensitive action logged in an append-only Audit Log, and an Audit Log page with module filter and export, so that I have a tamper-proof history of who did what and when.
(PB-36 + PB-37)</t>
  </si>
  <si>
    <t>- Every create, update and delete through the API, plus Break-Glass reads, payslip generation and leave decisions, writes an Audit Log row with actor, action, module, object, company and time
- The Audit Log is append-only: no edit or delete endpoint exists, and the model refuses update and delete
- The CEO sees only the log of their own company; a user without the Permission is blocked
- The Audit Log page shows User, Action, Module, Date &amp; Time and a Status pill, with a Module filter, an Export button and paging; it has no edit or delete action</t>
  </si>
  <si>
    <t>ST-136</t>
  </si>
  <si>
    <t>As a CEO, I want a Billing page showing my plan, employee limit, and invoices, so that I can manage my subscription.
(PB-38)</t>
  </si>
  <si>
    <t>- The Billing page shows the company's plan (name, price, employee limit), the current employee count with a usage bar, and the invoice list
- Plans are seeded (Basic 10 employees, Professional 50, Enterprise unlimited) and a new company starts on Basic
- Adding an Employee beyond the plan's limit is refused with a clear "upgrade your plan" message
- Only users with the billing Permission see the page and its data; another company's invoices are not reachable</t>
  </si>
  <si>
    <t>ST-137</t>
  </si>
  <si>
    <t>As an Employee, I want a monthly attendance calendar with summary cards, so that I can see my attendance history at a glance.
(PB-39)</t>
  </si>
  <si>
    <t>- A month calendar shows a colored dot per day (Present, Absent, On Leave) with previous and next month buttons
- Summary cards show Present, Absent and On Leave days and the attendance rate of the month
- Days of Approved leave show as On Leave; weekends and future days show no status
- An employee sees only their own calendar</t>
  </si>
  <si>
    <t>Carried Over from Sprint 4</t>
  </si>
  <si>
    <t>—</t>
  </si>
  <si>
    <t>Nothing was carried over: every Sprint 4 story is Done and every test case Passed</t>
  </si>
  <si>
    <t>Task Breakdown (Implementation)</t>
  </si>
  <si>
    <t>Design how a leave request starts an Approval Instance of the leave chain, what approve and reject do, and the CEO fallback when no chain or approver exists</t>
  </si>
  <si>
    <t>Connect apply_leave to start_approval; on the last approval set the leave Approved, on rejection set it Rejected and give the days back; block the applicant from deciding their own leave</t>
  </si>
  <si>
    <t>Notify the applicant when the leave is decided and show the leave in the approvers' Pending Approvals and Action Inbox; add the CEO fallback</t>
  </si>
  <si>
    <t>Show the approval progress (current step, who decided, comment) on the My Leave page and the leave details on Pending Approvals</t>
  </si>
  <si>
    <t>Self-test a one-step and a two-step chain, a rejection with a comment, no chain configured, the applicant's own request, and another company</t>
  </si>
  <si>
    <t>Design the demo story: the company, one account per role, and the data each screen needs</t>
  </si>
  <si>
    <t>Write the seed_demo_data command: safe to run twice, a --reset for the demo company only, refuses production settings</t>
  </si>
  <si>
    <t>Run the command on an empty database and twice in a row, log in as every demo role and check each screen has data</t>
  </si>
  <si>
    <t>Decide what the regression suite covers and how a Selenium run starts from known demo data</t>
  </si>
  <si>
    <t>Add the missing backend tests so every endpoint is tested for login required, the Permission check, and another company's data returning 404</t>
  </si>
  <si>
    <t>Build the shared Selenium helper (login after the dashboard redirect, frontend address, test users) and one command that runs every Selenium test case</t>
  </si>
  <si>
    <t>Run both suites from a clean checkout and fix what breaks; write the README steps</t>
  </si>
  <si>
    <t>Compare the SRS, SDS, structure, ER diagram, design-system and other project documents with the final code and list every difference</t>
  </si>
  <si>
    <t>Update the documents to match the delivered system and mark what was not built as future work</t>
  </si>
  <si>
    <t>Check that every model and endpoint named in the documents exists in the code</t>
  </si>
  <si>
    <t>Write the demo script: every role, in order, about 15 minutes, with the data each step needs</t>
  </si>
  <si>
    <t>Rehearsal 1: follow the script end to end on a clean install with demo data and log every slip</t>
  </si>
  <si>
    <t>Bug-fix buffer: fix the backend problems found in rehearsal 1</t>
  </si>
  <si>
    <t>Bug-fix buffer: fix the screen problems found in rehearsal 1</t>
  </si>
  <si>
    <t>Rehearsal 2: run the script again, then both test suites, npm run lint and npm run build, and tag the final build</t>
  </si>
  <si>
    <t>Design the Analytics page: which MetricCards and charts, how attendance rate and task completion are calculated, and the Permission that guards it</t>
  </si>
  <si>
    <t>Create the CompanyHealthSnapshot model and migration (one row per company and day)</t>
  </si>
  <si>
    <t>Build the analytics service and endpoints (monthly attendance rate, completed and pending Tasks by department) limited to the user's own company</t>
  </si>
  <si>
    <t>Build the Analytics page with MetricCards, a line chart and a grouped bar chart, with loading and empty states</t>
  </si>
  <si>
    <t>Self-test with and without data, a user without the Permission, and another company</t>
  </si>
  <si>
    <t>Design which actions are logged, what each row holds, the append-only rule and the page layout</t>
  </si>
  <si>
    <t>Create the AuditLog model and migration with a guard that refuses update and delete</t>
  </si>
  <si>
    <t>Write an Audit Log row for every create, update and delete through the API, Break-Glass reads, payslip generation and leave decisions; add the list endpoint, Module filter and export, limited to the company and the Permission</t>
  </si>
  <si>
    <t>Build the Audit Log page: table, Module filter, status pills, Export button and paging, read-only with no edit or delete action</t>
  </si>
  <si>
    <t>Self-test rows after create, update and delete, refused update and delete of a log row, the filter, the export, and another company</t>
  </si>
  <si>
    <t>Design the Billing page and how the plan limit is checked when an Employee is created</t>
  </si>
  <si>
    <t>Create the SubscriptionPlan, Subscription and Invoice models and migration; seed Basic (10), Professional (50) and Enterprise</t>
  </si>
  <si>
    <t>Build the billing endpoints and enforce the plan's employee limit when an Employee is created</t>
  </si>
  <si>
    <t>Build the Billing page: plan card, employee usage bar and invoice table</t>
  </si>
  <si>
    <t>Self-test the limit at exactly full, over the limit, the Permission, and another company</t>
  </si>
  <si>
    <t>Design the monthly calendar: day statuses (Present, Absent, On Leave), weekends, future days and the summary cards</t>
  </si>
  <si>
    <t>Build the monthly attendance summary endpoint for the logged-in employee</t>
  </si>
  <si>
    <t>Build the calendar grid with colored dots, month navigation and the summary cards</t>
  </si>
  <si>
    <t>Self-test months with no data, a month with approved leave, and that another employee's days never show</t>
  </si>
  <si>
    <t>Cross-Test Assignment (every story is tested by someone other than its owner)</t>
  </si>
  <si>
    <t>Leave follows the Approval Chain</t>
  </si>
  <si>
    <t>Demo data command</t>
  </si>
  <si>
    <t>Regression suite and backend tests</t>
  </si>
  <si>
    <t>Documents match the system</t>
  </si>
  <si>
    <t>Demo rehearsal and bug-fix buffer</t>
  </si>
  <si>
    <t>Analytics page</t>
  </si>
  <si>
    <t>Audit Log and Audit Log page</t>
  </si>
  <si>
    <t>Billing page</t>
  </si>
  <si>
    <t>Monthly attendance calendar</t>
  </si>
  <si>
    <t>TC-71</t>
  </si>
  <si>
    <t>[Selenium] Apply for leave as an Employee when the company has a leave Approval Chain — expect the request Pending and visible in the approver's Pending Approvals page and Action Inbox</t>
  </si>
  <si>
    <t>Not Run</t>
  </si>
  <si>
    <t>TC-72</t>
  </si>
  <si>
    <t>[Selenium] As the approver approve the last step — expect the leave Approved, a Notification for the applicant, and the days used in the leave balance</t>
  </si>
  <si>
    <t>TC-73</t>
  </si>
  <si>
    <t>[Selenium] As the approver reject a leave request with a comment — expect it Rejected, the days back in the balance, and the comment shown to the applicant</t>
  </si>
  <si>
    <t>TC-74</t>
  </si>
  <si>
    <t>[Selenium] After running the demo data command log in as the CEO, a Manager, HR, an Accountant and an Employee — expect each dashboard to show real numbers and charts</t>
  </si>
  <si>
    <t>TC-75</t>
  </si>
  <si>
    <t>[Selenium] Run the demo data command a second time — expect no duplicate Employees, Departments or Tasks on their pages</t>
  </si>
  <si>
    <t>TC-76</t>
  </si>
  <si>
    <t>[Selenium] Run the single regression command from a clean checkout — expect a pass or fail line for every test case, and a non-zero exit code when one test is made to fail</t>
  </si>
  <si>
    <t>TC-77</t>
  </si>
  <si>
    <t>[Review] Compare every endpoint in the SDS API table with the running API — expect none missing and none extra</t>
  </si>
  <si>
    <t>TC-78</t>
  </si>
  <si>
    <t>[Review] Open the SRS requirements traceability table — expect every requirement marked Done, Partly or Not built, each with the story that delivered it</t>
  </si>
  <si>
    <t>TC-79</t>
  </si>
  <si>
    <t>[Rehearsal] Follow the demo script on a clean install with demo data — expect every step to work and the whole run to take about 15 minutes</t>
  </si>
  <si>
    <t>TC-80</t>
  </si>
  <si>
    <t>[Rehearsal] Run both test suites, npm run lint and npm run build on the final build — expect everything to pass</t>
  </si>
  <si>
    <t>TC-81</t>
  </si>
  <si>
    <t>[Selenium] Log in as a CEO and open Analytics — expect MetricCards, the attendance line chart and the tasks-by-department bar chart</t>
  </si>
  <si>
    <t>TC-82</t>
  </si>
  <si>
    <t>[Selenium] Log in as an Employee without the analytics Permission — expect no Analytics menu item and the page address blocked</t>
  </si>
  <si>
    <t>TC-83</t>
  </si>
  <si>
    <t>[Selenium] Create, edit and delete a Department as the CEO — expect three new rows on the Audit Log page with the right actor and action</t>
  </si>
  <si>
    <t>TC-84</t>
  </si>
  <si>
    <t>[Selenium] Filter the Audit Log by Module and press Export — expect only that module's rows and a downloaded file with the same rows</t>
  </si>
  <si>
    <t>TC-85</t>
  </si>
  <si>
    <t>[Selenium] Open the Audit Log as an Employee without the Permission, and as another company's CEO — expect no access and none of this company's rows</t>
  </si>
  <si>
    <t>TC-86</t>
  </si>
  <si>
    <t>[Selenium] Log in as a CEO and open Billing — expect the plan, the employee limit with usage, and the invoice list</t>
  </si>
  <si>
    <t>TC-87</t>
  </si>
  <si>
    <t>[Selenium] Add an Employee when the plan's limit is reached — expect an "upgrade your plan" message and no new Employee</t>
  </si>
  <si>
    <t>TC-88</t>
  </si>
  <si>
    <t>[Selenium] Open the monthly attendance calendar — expect a colored dot per day and the Present, Absent, On Leave and rate cards matching the month</t>
  </si>
  <si>
    <t>TC-89</t>
  </si>
  <si>
    <t>[Selenium] Move to the previous month and look at a day of approved leave — expect the calendar to change month and show that day as On Leave</t>
  </si>
  <si>
    <t>Coordination Tasks (Mahin)</t>
  </si>
  <si>
    <t>Sprint 5 planning session — select the last stories from the backlog, confirm scope and the date after which no new feature is added</t>
  </si>
  <si>
    <t>Demo day planning — confirm who presents which part and when the two rehearsals happen</t>
  </si>
  <si>
    <t>Sprint 5 review and final retrospective facilitation</t>
  </si>
  <si>
    <t>Ordinis — Sprint 6 Brief (read this first)</t>
  </si>
  <si>
    <t>Written so that a new conversation can pick up Sprint 6 from this workbook alone. Dates: Oct 21 – Nov 4. Stories ST-138 to ST-155, backlog PB-41 to PB-58, test cases TC-90 to TC-132.</t>
  </si>
  <si>
    <t>1. Context</t>
  </si>
  <si>
    <t>Purpose of this tab</t>
  </si>
  <si>
    <t>Start here. Then read the Sprint 6 tab (stories, tasks, test cases, cross-test table) and the Gap Register tab (the 23 gaps Saif listed on Oct 20, plus 8 more found while analysing them; every gap points to the story that fixes it). The Product Backlog tab has PB-41 to PB-58 for these stories.</t>
  </si>
  <si>
    <t>The project in short</t>
  </si>
  <si>
    <t>Ordinis is a multi-tenant Organization Operating System: a Django REST Framework backend (14 apps, SQLite in development) and a React + Vite + Tailwind frontend. Each company builds its own hierarchy, Roles and Permissions, approval chains, tasks, attendance and leave, payroll and billing. A Platform Admin runs the platform and can see a company only through the Break-Glass process (request, company approval, time limit, read-only, logged). Rules that must hold in every story: every query is filtered by company and another company's id is a 404; access is checked by Permission codename, never by job title; business rules live in services.py; every API answers in the standard envelope {success, data, message} or {success, error: {code, message, field_errors}}.</t>
  </si>
  <si>
    <t>State at the end of Sprint 5</t>
  </si>
  <si>
    <t>Treated as fully complete, as Saif stated on Oct 20: ST-129 to ST-137 Done and TC-71 to TC-89 Passed, including Analytics (ST-134) and the monthly attendance calendar (ST-137). At the last verified build the backend had 568 passing tests, makemigrations --check was clean, and generate_docs and check_docs matched the code. The Sprint 5 tab and the Sprint 5 rows of the Product Backlog were left exactly as they were; update their statuses when they are really true.</t>
  </si>
  <si>
    <t>Sprint 6 goal</t>
  </si>
  <si>
    <t>Make the product ready to run as a business and to manage: fix the Roles bugs, give people real names, profiles and safe passwords, add detail pages and team attendance, finish billing (timeline, registration with plan choice, manual payment approval, renewal, upgrade) and give the Platform Admin company details, notes, requests and a dashboard.</t>
  </si>
  <si>
    <t>Size and the five-sprint rule</t>
  </si>
  <si>
    <t>18 stories and 102 story points, against 9 stories and 40 points in Sprint 5, so it is planned as 15 days. Implementation is about 232 hours (workload table at the bottom). The course plan fixed five sprints, so Sprint 6 is an extra improvement sprint after them; decide how to present it.</t>
  </si>
  <si>
    <t>2. How the stories are ordered and owned</t>
  </si>
  <si>
    <t>Order</t>
  </si>
  <si>
    <t>The stories on the Sprint 6 tab are listed in the order they are implemented, one after another. Every story needs only stories above it, so you can start at the top and work down without jumping. The order table in section 3 shows what each story needs and a target finish date.</t>
  </si>
  <si>
    <t>Owners</t>
  </si>
  <si>
    <t>One serial, as Saif asked: the first ten stories (ST-138 to ST-147) are Saif's, then two each for Mahin, Tahsin, Disha and Eifa in that order, so Eifa has the last two. Saif keeps the foundations and the money core (catalog, names and profile, passwords, subscription period, payments, registration). ST-155 (regression, documents, demo script) has to come last, so by this serial it is Eifa's; swap it with Saif if you prefer. Change the Owner column freely.</t>
  </si>
  <si>
    <t>Standing rules (unchanged)</t>
  </si>
  <si>
    <t>One story has one owner and is an isolated piece of work. Every story is tested with Selenium by someone other than its owner; tester rotation: Mahin's code is tested by Saif, Tahsin's by Mahin, Saif's by Tahsin, Eifa's by Disha, Disha's by Eifa. A story is Done only when its code is written, self-tested and its Selenium test cases pass. Commits carry their real date. Story IDs continue from ST-138, backlog from PB-41, test cases from TC-90. Migrations: add a new migration, never regenerate old ones. Documents: the generated parts come from python manage.py generate_docs and are checked by check_docs. Test commands: python regression.py backend and python regression.py selenium, plus npm run lint and npm run build. "docs" means a Word file.</t>
  </si>
  <si>
    <t>3. Order table (implement from top to bottom)</t>
  </si>
  <si>
    <t>Tier</t>
  </si>
  <si>
    <t>Needs (stories above)</t>
  </si>
  <si>
    <t>Target finish</t>
  </si>
  <si>
    <t>Notes</t>
  </si>
  <si>
    <t>ST-138 — Permission catalog in code and Roles page bug fix</t>
  </si>
  <si>
    <t>Must</t>
  </si>
  <si>
    <t>Oct 21</t>
  </si>
  <si>
    <t>First: every later Permission (team attendance, billing) is added to this catalog.</t>
  </si>
  <si>
    <t>ST-139 — Roles v2: sections, role detail and role edit</t>
  </si>
  <si>
    <t>ST-138</t>
  </si>
  <si>
    <t>Oct 22</t>
  </si>
  <si>
    <t>Right after ST-138: the Roles page builds on the new catalog and descriptions.</t>
  </si>
  <si>
    <t>ST-140 — Names, profile data and the profile API</t>
  </si>
  <si>
    <t>Oct 23</t>
  </si>
  <si>
    <t>Gives every later story real names and the profile API.</t>
  </si>
  <si>
    <t>ST-141 — My Profile page for every user</t>
  </si>
  <si>
    <t>ST-140</t>
  </si>
  <si>
    <t>UI for the profile API from ST-140.</t>
  </si>
  <si>
    <t>ST-142 — Password safety: change password and temporary password</t>
  </si>
  <si>
    <t>ST-141, ST-140</t>
  </si>
  <si>
    <t>Oct 24</t>
  </si>
  <si>
    <t>Adds the password forms to the My Profile page from ST-141.</t>
  </si>
  <si>
    <t>ST-143 — Employee detail page v2</t>
  </si>
  <si>
    <t>ST-138, ST-140</t>
  </si>
  <si>
    <t>Oct 25</t>
  </si>
  <si>
    <t>Needs the catalog (ST-138) for effective Permissions and the names and profile fields (ST-140).</t>
  </si>
  <si>
    <t>ST-144 — Team attendance with employee dropdown</t>
  </si>
  <si>
    <t>Oct 26</t>
  </si>
  <si>
    <t>Needs the catalog (ST-138), names (ST-140) and the Sprint 5 calendar (ST-137).</t>
  </si>
  <si>
    <t>ST-145 — Subscription period, days left, reminders and restricted mode</t>
  </si>
  <si>
    <t>Oct 27</t>
  </si>
  <si>
    <t>Start of the billing chain; keep register_company and seed data working.</t>
  </si>
  <si>
    <t>ST-146 — Duration pricing, manual payment submission and admin approval</t>
  </si>
  <si>
    <t>ST-145</t>
  </si>
  <si>
    <t>Oct 28</t>
  </si>
  <si>
    <t>Core of billing: price, payment submission, approval, invoice. Needs the period fields from ST-145.</t>
  </si>
  <si>
    <t>ST-147 — Registration with plan choice, payment and waiting page</t>
  </si>
  <si>
    <t>ST-145, ST-146</t>
  </si>
  <si>
    <t>Oct 29</t>
  </si>
  <si>
    <t>Its second test case needs the Payments page (ST-148); run it after ST-148 is done, or approve through the API.</t>
  </si>
  <si>
    <t>ST-148 — Platform Admin payments review and subscriptions timeline</t>
  </si>
  <si>
    <t>ST-146</t>
  </si>
  <si>
    <t>Gives the Platform Admin the UI to approve payments.</t>
  </si>
  <si>
    <t>ST-149 — Company Billing timeline, renewal and invoice detail</t>
  </si>
  <si>
    <t>Oct 31</t>
  </si>
  <si>
    <t>Includes the renewal invoice job (backend 3 h).</t>
  </si>
  <si>
    <t>ST-150 — Department and Designation detail pages</t>
  </si>
  <si>
    <t>Nov 1</t>
  </si>
  <si>
    <t>Needs names (ST-140).</t>
  </si>
  <si>
    <t>ST-151 — Plan upgrade request with extra amount</t>
  </si>
  <si>
    <t>Should</t>
  </si>
  <si>
    <t>Nov 2</t>
  </si>
  <si>
    <t>Reuses the payment and approval flow from ST-146.</t>
  </si>
  <si>
    <t>ST-152 — Platform Admin company detail page</t>
  </si>
  <si>
    <t>Subscription facts from ST-145, payment facts from ST-146.</t>
  </si>
  <si>
    <t>ST-153 — Platform Admin dashboard</t>
  </si>
  <si>
    <t>ST-146, ST-148</t>
  </si>
  <si>
    <t>Nov 3</t>
  </si>
  <si>
    <t>Needs real payments and invoices (ST-146) and the Payments page links (ST-148).</t>
  </si>
  <si>
    <t>ST-154 — Platform Admin notes, access request, support request and sidebar cleanup</t>
  </si>
  <si>
    <t>Nov 4</t>
  </si>
  <si>
    <t>Independent quick wins; placed late because no other story needs it.</t>
  </si>
  <si>
    <t>ST-155 — Sprint 6 regression, documents and demo script</t>
  </si>
  <si>
    <t>all Must stories</t>
  </si>
  <si>
    <t>Last: updates tests, documents and demo script, then the rehearsal.</t>
  </si>
  <si>
    <t>Spreads the story points evenly over the 15 days (Oct 21 is day 1, Nov 4 day 15). It is a pace to aim for, not a promise; a bigger story takes its own time.</t>
  </si>
  <si>
    <t>4. Key design decisions (the reasons, so nobody re-argues them)</t>
  </si>
  <si>
    <t>D1 Permission catalog in code</t>
  </si>
  <si>
    <t>One list in rbac/catalog.py (codename, name, module, description) synced on migrate. A new Permission is one line and the CEO role receives it through the existing sync. A Permission is added only together with the feature it protects. A test checks that every codename used in the views is in the catalog.</t>
  </si>
  <si>
    <t>D2 Names and profile</t>
  </si>
  <si>
    <t>full_name lives on User (so the Platform Admin has one); phone, address, emergency contact and joined on live on Employee. The profile endpoint edits only a whitelist; it can never change email, department, designation, manager, Roles or salary.</t>
  </si>
  <si>
    <t>D3 Temporary password</t>
  </si>
  <si>
    <t>The CEO never types an employee's password. The system makes a one-time temporary password, shows it once, and the employee must change it at first login (PASSWORD_CHANGE_REQUIRED). Creating with an explicit password still works, so older tests keep passing.</t>
  </si>
  <si>
    <t>D4 Who sees what on a person</t>
  </si>
  <si>
    <t>Contact details only for the person, their managers and manage_employees; salary only with manage_finance; task titles on a Department page only for people who may see those tasks, others see counts. This keeps FR-13.</t>
  </si>
  <si>
    <t>D5 Days left is computed</t>
  </si>
  <si>
    <t>Days left = end date minus today in the company time zone. It is never stored or decremented by a job, so a missed job cannot make it wrong. The daily process_subscriptions command only sends reminders and sets the expired status; the same check also runs on every request.</t>
  </si>
  <si>
    <t>D6 Restricted mode, not suspension</t>
  </si>
  <si>
    <t>A company that is pending payment or expired can log in but only Billing, payment, profile, support and logout work (SUBSCRIPTION_RESTRICTED). Suspend (is_active false) stays a full block for misuse. Without this an unpaid company could not even reach the page where it pays.</t>
  </si>
  <si>
    <t>D7 Manual payments</t>
  </si>
  <si>
    <t>The amount is always computed on the server. A transaction id is unique per method. One pending submission per company. Approval is idempotent (locked row). A company can never approve its own payment. The invoice is created on approval, not when the form is submitted.</t>
  </si>
  <si>
    <t>D8 Renewal</t>
  </si>
  <si>
    <t>The renewal invoice is created 7 days before the end so the client sees what to pay; paying and approval extend from the old end date, so no days are lost.</t>
  </si>
  <si>
    <t>D9 Pricing</t>
  </si>
  <si>
    <t>Price = plan monthly price × months (1 to 36); 12 months costs the price of 10. Current plan prices are placeholders: Basic 1500, Professional 5000, Enterprise 15000 BDT a month (employee limits 10, 50, unlimited).</t>
  </si>
  <si>
    <t>D10 Upgrade</t>
  </si>
  <si>
    <t>Extra amount = (new monthly price − old monthly price) × days left ÷ 30, rounded to the taka; the end date does not change. A lower plan only at the next renewal and only if the team fits.</t>
  </si>
  <si>
    <t>D11 Platform Admin privacy</t>
  </si>
  <si>
    <t>The company detail page and the dashboard show counts, dates, money and the owner's contact only, never employee names, tasks, attendance or salary. Break-Glass remains the only way into company data.</t>
  </si>
  <si>
    <t>D12 Reminders</t>
  </si>
  <si>
    <t>In-app Notifications and a banner only (7, 3 and 1 days before the end); there is no email or SMS channel yet.</t>
  </si>
  <si>
    <t>5. Defaults, cut line, risks</t>
  </si>
  <si>
    <t>Defaults (one constant each)</t>
  </si>
  <si>
    <t>Grace period 3 days after the end date; reminders at 7, 3 and 1 days; yearly discount 12 months for the price of 10; months 1 to 36; payment methods bKash, Nagad, bank and cash; no free trial (a new company must pay before it starts). Changing any of these touches only ST-145 and ST-146.</t>
  </si>
  <si>
    <t>Cut line</t>
  </si>
  <si>
    <t>Must stories carry the sprint: ST-138, ST-139, ST-140, ST-141, ST-142, ST-143, ST-144, ST-145, ST-146, ST-147, ST-148, ST-149, ST-150, ST-154, ST-155. Should stories can move to Sprint 7 without breaking anything above them: ST-151, ST-152, ST-153. Decide at the Oct 28 check (Mahin's coordination task).</t>
  </si>
  <si>
    <t>Risks</t>
  </si>
  <si>
    <t>1) Because the order is strict, a slip delays the stories below it. Saif's ten come first and carry about 130 implementation hours; the teammates' eight stories wait for them, and ST-138, ST-140, ST-145 and ST-146 matter most. 2) The size: 232 implementation hours in 15 days. 3) Payments are verified by a person, not a gateway, so the Platform Admin must check the transaction before approving. 4) Registration changes make old tests and Selenium helpers fail until they are updated (X-08). 5) Time zones: days left and reminders use the company time zone.</t>
  </si>
  <si>
    <t>Definition of Done</t>
  </si>
  <si>
    <t>Code written and merged; the story's own tests pass; python regression.py backend still passes; npm run lint and npm run build pass; the Selenium test cases of the story pass for the tester; documents regenerate cleanly (generate_docs, check_docs); the story status is changed to Done only after that.</t>
  </si>
  <si>
    <t>Out of scope for Sprint 6</t>
  </si>
  <si>
    <t>A real payment gateway (bKash or Nagad API), email or SMS, multi-factor authentication and password reset by email, field-level encryption, Projects, Expense and Reimbursement, and the Layer 3 modules. They stay future work.</t>
  </si>
  <si>
    <t>How to start in a new conversation</t>
  </si>
  <si>
    <t>Give the new conversation this workbook, the latest Ordinis-Submission.zip and the continuity instruction. Ask it to read this tab, then start with ST-138 (the first row of the order table), one step at a time, with a Django shell or test run after each step and a commit at the end of each session.</t>
  </si>
  <si>
    <t>6. Workload by owner (formulas read the Sprint 6 tab)</t>
  </si>
  <si>
    <t>Stories</t>
  </si>
  <si>
    <t>Points</t>
  </si>
  <si>
    <t>Implementation hours</t>
  </si>
  <si>
    <t>QA hours</t>
  </si>
  <si>
    <t>Stories (ids)</t>
  </si>
  <si>
    <t>ST-138, ST-139, ST-140, ST-141, ST-142, ST-143, ST-144, ST-145, ST-146, ST-147</t>
  </si>
  <si>
    <t>ST-148, ST-149</t>
  </si>
  <si>
    <t>ST-150, ST-151</t>
  </si>
  <si>
    <t>ST-152, ST-153</t>
  </si>
  <si>
    <t>ST-154, ST-155</t>
  </si>
  <si>
    <t>Total</t>
  </si>
  <si>
    <t>Sprint 5 for comparison: 9 stories, 40 points, 99 implementation hours, 28.5 QA hours</t>
  </si>
  <si>
    <t>Ordinis — Sprint 6 Planning</t>
  </si>
  <si>
    <t>Sprint Duration: Oct 21 – Nov 4</t>
  </si>
  <si>
    <t>Sprint Goal: Fix the Roles bugs and give every person a real name, a profile and a safe password. Give every Role, Employee, Department and Designation a detail page, let managers see team attendance, and finish billing: subscription timeline, registration with plan choice and manual payment approval, renewals and plan upgrades. Give the Platform Admin company details, notes, access and support requests and a dashboard, then update the tests, documents and demo script.</t>
  </si>
  <si>
    <t>As a CEO, I want every Permission to have a clear name, a plain-language description and a module, kept in one place in the code, and the Roles page to offer only real Permissions, so that a Role I create keeps every Permission I tick and I know what each one allows.
(PB-41)</t>
  </si>
  <si>
    <t>- A permission catalog in the code (rbac/catalog.py) lists every Permission with codename, name, module and a plain-language description; running migrate adds missing rows and refreshes names and descriptions, so a new Permission no longer needs its own migration; the CEO system Role still receives every Permission
- The Permission model has a description field, and GET /api/v1/rbac/permissions/ returns codename, name, module and description
- The Roles page builds its Permission list only from that API; the hardcoded list is removed (six of its names, such as approve_leave and view_finance, do not exist in the backend and were silently dropped)
- Creating a Role with N Permissions saves exactly N, and the existing-Roles list shows all N grouped by module; if the server did not save a ticked Permission the page says so
- A test fails when a ViewSet uses a permission_required codename that is not in the catalog</t>
  </si>
  <si>
    <t>ST-139</t>
  </si>
  <si>
    <t>As a CEO, I want a Roles page with Permissions in sections, a detail page for each Role that explains what every Permission lets people do, and the ability to edit a Role, so that I can design access without guessing.
(PB-42)</t>
  </si>
  <si>
    <t>- The create and edit Role form shows Permissions in collapsible module sections, each with its name, a one-line description and a Select all per section, and a counter of how many are chosen
- Each Role has a detail page (/roles/:id) with its description, its Permissions grouped by module with their descriptions, and the employees who hold it
- A Role can be edited (name, description, Permissions); the CEO system Role cannot be edited or deleted and the page says why; before saving the page says how many employees the change affects
- The existing-Roles list shows the real Permission count and the first few names with +N more
- Deleting a Role that employees still hold is refused with code ROLE_IN_USE and a clear message; the Role stays in the list</t>
  </si>
  <si>
    <t>As an employee, I want my full name and profile details stored and editable by me, so that the system shows real names everywhere and I keep my own details current.
(PB-43)</t>
  </si>
  <si>
    <t>- User gets full_name; Employee gets phone, address, emergency contact name and phone, and joined on; registration asks for the owner's full name; creating and editing an Employee takes the full name; seed_demo_data gives every demo person a name
- GET and PATCH /api/v1/auth/profile/ work for the logged-in user, the Platform Admin included; only full name, phone, address and emergency contact can be changed; email, department, designation, manager, Roles and salary can never be changed through it
- Every serializer that returns an employee email also returns the employee name, and every page shows the full name first (with code or email in small text)
- Old rows without a name still work (the name may be empty and the page falls back to the email)</t>
  </si>
  <si>
    <t>ST-141</t>
  </si>
  <si>
    <t>As any user (employee, CEO or Platform Admin), I want a My Profile page where I see and edit my own details, so that I keep my information current myself.
(PB-44)</t>
  </si>
  <si>
    <t>- The user menu has My Profile; the page shows full name, email (read-only), designation, department, manager and company (read-only) and phone, address and emergency contact (editable); the Platform Admin sees the same page without the company fields
- Saving shows success or the field errors from the server; leaving the page with unsaved changes asks first
- A user opening another user's profile address is not possible: the page only ever loads the logged-in user's own data</t>
  </si>
  <si>
    <t>ST-142</t>
  </si>
  <si>
    <t>As a CEO and as an employee, I want a safe way to change my password and a temporary password for new employees, so that nobody has to share a password.
(PB-45)</t>
  </si>
  <si>
    <t>- POST /api/v1/auth/change-password/ needs the current password, applies the password rules and ends the user's other sessions (blacklists their other refresh tokens); the My Profile page has the form (current, new, confirm) and shows the server message for a wrong current password
- When the CEO creates an Employee without typing a password, the system makes a one-time temporary password, returns it once, and the Employee must change it at first login: until then every endpoint except change-password, profile, me and logout answers 403 with code PASSWORD_CHANGE_REQUIRED; creating with an explicit password still works as before
- After login with a temporary password the user is sent to My Profile and cannot open any other page until the password is changed
- The Employee create form no longer gets email and password filled in by the browser, and after creating an Employee shows the temporary password once with a Copy button</t>
  </si>
  <si>
    <t>ST-143</t>
  </si>
  <si>
    <t>As a CEO or HR user, I want an Employee detail page with the full profile and the Permissions that person really has, so that I can see exactly who someone is and what they can do.
(PB-46)</t>
  </si>
  <si>
    <t>- The page shows full name, email, code, phone, address, emergency contact, joined on, department, designation, manager, direct reports and the chain of managers
- A Permissions section lists each Role the person holds and under it the effective Permissions grouped by module with descriptions; a person with no Role shows No Permissions
- Phone, address and emergency contact are visible only to the person, their managers and holders of manage_employees; everyone else sees name, designation and department; salary and payroll lines only with manage_finance
- A user with manage_employees can edit these fields from the page</t>
  </si>
  <si>
    <t>ST-144</t>
  </si>
  <si>
    <t>As a CEO or a manager with the Permission, I want to pick an employee from a dropdown and see their attendance for a month, so that I know how many days they came and at what times.
(PB-47)</t>
  </si>
  <si>
    <t>- A new Permission view_team_attendance is added to the catalog with a description; the CEO role holds it; a user with it sees every employee of the company, a user without it sees only the people below them in the hierarchy; a user with no team sees no Team Attendance menu item
- The Team Attendance page (Attendance group in the sidebar) has a searchable employee dropdown, a month picker with previous and next, the monthly calendar and the Present, Absent, On Leave and rate cards for that employee, and a table of each day's check-in, check-out and hours worked
- The month shows days present and total hours; a day with no check-out shows no check-out
- GET /attendance/attendance/team/?employee=&amp;month= answers 404 (not 403) for an employee outside the user's scope or in another company
- My Attendance still shows only the user's own data</t>
  </si>
  <si>
    <t>As the Platform Owner, I want every company's subscription to have a start and end date, a days-left count, automatic reminders before it ends and a restricted mode after it ends, so that unpaid companies stop using the product without being locked out of paying.
(PB-48)</t>
  </si>
  <si>
    <t>- Subscription gets current_period_start, current_period_end, billing_months and the status pending_payment, active, expired or cancelled; days left are computed from today's date in the company time zone, never stored or counted down by a job
- python manage.py process_subscriptions (run daily) sends an in-app Notification to the CEO and to billing holders 7, 3 and 1 days before the end (once per threshold) and moves a subscription to expired 3 days after its end date; running it twice changes nothing more
- Restricted mode: a company with status pending_payment or expired can log in, but every endpoint except login, refresh, logout, me, profile, change-password, billing, payments, plans and support answers 403 with code SUBSCRIPTION_RESTRICTED; the frontend then shows only the Billing pages and a banner; Suspend (is_active false) still blocks everything
- The check also runs on every request, so a company past its end date is restricted even if the daily job did not run
- seed_demo_data and the existing tests keep working: demo companies are active with long periods and the register_company test helper activates the subscription</t>
  </si>
  <si>
    <t>As a company owner, I want to choose a plan for any number of months, pay by bKash, Nagad or bank transfer outside the system and submit the payment details, so that the platform team can check and approve it and my plan starts.
(PB-49)</t>
  </si>
  <si>
    <t>- Price = plan monthly price × months, 1 to 36 months, and 12 months costs the price of 10; GET /billing/quote/?plan=&amp;months= returns the amount, the discount and the period; the amount is always computed on the server
- PaymentSubmission records company, plan, months, amount, method (bkash, nagad, bank, cash), payer name, payer number, transaction id, kind (new, renewal, upgrade), status (pending, approved, rejected), reviewed by, reviewed at and the review note; a transaction id can be used once per method; a company has one pending submission at a time
- A new Permission manage_billing (in the catalog) lets a company submit and read its own payments; the Platform Admin lists all, approves, or rejects with a note
- Approving is idempotent (locked row): it activates or extends the subscription (a renewal extends from the old end date, so no days are lost), creates the paid Invoice with the next number and notifies the company; rejecting notifies with the note; approving twice changes nothing
- Every approval and rejection is audit-logged and written to PlatformActionLog; a company can never approve its own payment</t>
  </si>
  <si>
    <t>ST-147</t>
  </si>
  <si>
    <t>As a new client, I want to register, choose a plan and duration, pay and submit my payment details, and wait for approval, so that my company starts only after my payment is checked.
(PB-50)</t>
  </si>
  <si>
    <t>- Registering (company name, owner full name, email, password) creates the company in pending_payment and signs the owner in; the owner lands on Choose a plan: cards for Basic, Professional and Enterprise with employee limit and monthly price, and a months selector (1, 3, 6, 12 or custom 1 to 36) with a live total from the quote endpoint
- Next opens the payment page: how to pay (bKash, Nagad, bank or manual instructions read from the server settings) and a form with method, payer name, payer number and transaction id, with the amount shown read-only
- After submit a waiting page shows Waiting for approval and refreshes itself; a rejected payment shows the admin's note and a form to submit again; an approved one sends the owner to the dashboard
- Companies registered before this change and the demo companies are unaffected</t>
  </si>
  <si>
    <t>ST-148</t>
  </si>
  <si>
    <t>As the Platform Owner, I want a Payments page to review the payments companies submit and a Subscriptions page that shows every company's days left, so that I approve what I verified and see who expires soon.
(PB-51)</t>
  </si>
  <si>
    <t>- The Payments page lists submissions (newest first, Pending by default) with company, plan, months, amount, method, payer, number, transaction id, kind and status, with filters; a detail panel; Approve (with confirm) and Reject (note required); after approval it shows the new end date and the invoice number
- The Subscriptions page lists every company with plan, status, end date and days left (7 days or fewer amber, expired red), sorted by days left, with filters Expiring in 7 days and Expired or Restricted
- The platform sidebar has Payments with a count of pending submissions, and Subscriptions
- Only a Platform Admin can open these pages or call their endpoints</t>
  </si>
  <si>
    <t>ST-149</t>
  </si>
  <si>
    <t>As a CEO, I want a Billing timeline showing how many days my plan has left, a Renew button with an invoice to pay, and a detail page for every invoice, so that I always know when and how much to pay.
(PB-52)</t>
  </si>
  <si>
    <t>- The top of the Billing page is a timeline card: plan, start and end dates, a progress bar, N days left in large text and a status (Active, Expiring soon at 7 days or fewer, Restricted)
- Seven days before the end the daily job creates the renewal Invoice (open, due on the end date), once only; Renew shows that invoice and its amount with the same payment form as registration, tied to the invoice; a pending banner shows after submit; after approval the invoice is Paid and the end date moves
- The invoice list shows number, period, amount and status; each row opens /settings/billing/invoices/:id with number, company, plan, period, months, amount, currency, issue, due and paid dates, payment method, transaction id and status, and a Print button
- Another company's invoice id is a 404; the timeline needs view_billing and paying needs manage_billing</t>
  </si>
  <si>
    <t>ST-150</t>
  </si>
  <si>
    <t>As a CEO or Department Head, I want a detail page for each Department and each Designation, so that I can see who is in it, what they do and what work is running.
(PB-53)</t>
  </si>
  <si>
    <t>- A Department row opens /organization/departments/:id with the name, head, member count, and each member with name, designation, manager and number of open tasks; a task summary (not started, in progress, submitted, completed, overdue) and the running tasks with title, assignee, priority, deadline and progress
- Task titles are shown only to people who may see them (the assignee's manager chain or a user with a company-wide task Permission); everybody else sees counts only
- A Department can name a Head (an Employee of the same company); the Head shows on the page and in the list
- A Designation row opens /organization/designations/:id with the title, the employees who hold it (with department) and the count
- Deleting a Department or Designation that still has employees is refused with a clear message that says who is in it (today it silently clears their link)
- Another company's Department or Designation id is a 404</t>
  </si>
  <si>
    <t>ST-151</t>
  </si>
  <si>
    <t>As a CEO, I want to request a plan change, see the extra amount to pay, pay it and have the admin approve it, so that my plan changes only after payment.
(PB-54)</t>
  </si>
  <si>
    <t>- The Change plan page lists the plans with their employee limits; choosing a higher plan shows the extra amount = (new monthly price − current monthly price) × days left ÷ 30, rounded to the taka, from GET /billing/upgrade-quote/?plan=; the end date does not change
- After paying outside the system the owner submits the payment form; it creates a PaymentSubmission of kind upgrade in status pending; a company has one pending submission at a time
- Admin approval switches the plan at once and creates an invoice for the extra amount; rejection keeps the current plan
- A lower plan can only start at the next renewal and is refused when the team is larger than the plan's limit (existing guard message); the Billing page's upgrade message links to this page</t>
  </si>
  <si>
    <t>ST-152</t>
  </si>
  <si>
    <t>As the Platform Owner, I want a detail page for each company with its plan, subscription timeline, owner contact, size and support history, so that I can help a company without opening its data.
(PB-55)</t>
  </si>
  <si>
    <t>- /admin/companies/:id shows name, subdomain, industry, registered on, status with the last suspend or activate note, the owner (CEO) name, email and phone, the plan and subscription timeline (start, end, days left), employee count against the limit, an invoices and payments summary, counts of open tickets and access requests, and the last 10 platform actions on the company
- It shows counts and contacts only, never employee names, tasks, attendance or salary (Break-Glass stays the only way in); Suspend or Activate (with note) and Request access are buttons on the page
- Company rows in the list open this page; only a Platform Admin can open it</t>
  </si>
  <si>
    <t>ST-153</t>
  </si>
  <si>
    <t>As the Platform Owner, I want a dashboard showing companies by state, revenue, dues and what needs my attention, so that I can see the health of the platform at a glance.
(PB-56)</t>
  </si>
  <si>
    <t>- /admin/dashboard is the Platform Admin home with MetricCards: companies total, active, restricted (pending payment or expired) and suspended; revenue this month and all time (paid invoices); due (open invoices); subscriptions ending in 7 days; pending payments; open tickets
- Charts: revenue per month for the last 6 months (bars) and companies by state (donut); a Needs attention list (payments to approve, subscriptions ending, open tickets, pending access requests), each linking to its page
- One endpoint GET /platform-admin/admin/summary/ whose query count does not grow with the number of companies; Platform Admin only</t>
  </si>
  <si>
    <t>ST-154</t>
  </si>
  <si>
    <t>As the Platform Owner and as a company user, I want a note on every suspend or activate, a way to request access to a company, a way to send a support request from inside my company, and a sidebar without unfinished items, so that every action is explained and every menu item works.
(PB-57)</t>
  </si>
  <si>
    <t>- Suspend and Activate ask for a required note (at least 10 characters), saved in PlatformActionLog.note and shown on the Activity page; resolving a ticket also needs a resolution note
- The Companies page has Request access on each company: a form with the reason that creates a Support Access Request (existing API) and shows it on Access Requests as Pending
- A company user gets a Help &amp; Support page (Settings group): send a ticket with subject and description, and see their own tickets with status Open or Resolved and the resolution note
- The sidebar has no item marked Soon: Projects, Payroll and Expenses are removed (the SRS keeps Projects and Expense as Not built)</t>
  </si>
  <si>
    <t>ST-155</t>
  </si>
  <si>
    <t>As a Team, I want the tests, documents and demo script to match the Sprint 6 system and one more full rehearsal, so that the final build is ready to present.
(PB-58)</t>
  </si>
  <si>
    <t>- python regression.py backend and python regression.py selenium pass, and npm run lint and npm run build pass; older Selenium tests that registered a company or typed a password are updated for the registration, names and menus of Sprint 6
- New requirements for profile and password, Permission descriptions and Role editing, Department and Designation detail, team attendance, subscription period and restricted mode, manual payment approval, plan change and the Platform Admin dashboard are in the traceability list with code evidence and show Done in SRS Section 7.2
- SRS, SDS (profile, catalog and billing sections), project structure, ER diagram and design system match the code (generate_docs and check_docs pass)
- The demo script (Word) covers the new flows (register, pay and approve; profile; Role detail; Department detail; team attendance; billing timeline; Platform Admin dashboard) and has been rehearsed once on a clean install, with a bug-fix buffer</t>
  </si>
  <si>
    <t>Carried Over from Sprint 5</t>
  </si>
  <si>
    <t>Nothing is carried over: Sprint 5 is treated as complete (stated by Saif on Oct 20). If any Sprint 5 story turns out not to be Done, add it here as a story owned by Saif.</t>
  </si>
  <si>
    <t>Design the catalog fields (codename, name, module, description), the sync step that runs on migrate before sync_system_roles, and the module groups</t>
  </si>
  <si>
    <t>Add Permission.description with a migration and fill it for the 14 current Permissions</t>
  </si>
  <si>
    <t>Write rbac/catalog.py and the sync; return description from the Permission API; keep the CEO role holding every Permission</t>
  </si>
  <si>
    <t>Write the test that every permission_required codename used in the views exists in the catalog</t>
  </si>
  <si>
    <t>Roles page: remove the hardcoded list, load Permissions from the API, group by module, fix the existing-Roles list so it shows every saved Permission</t>
  </si>
  <si>
    <t>Self-test a Role with all, one and no Permissions; migrate on a fresh and on an existing database; the CEO role holds every Permission</t>
  </si>
  <si>
    <t>Design the sectioned picker, the Role detail page and the edit flow, including the locked CEO Role</t>
  </si>
  <si>
    <t>Return employee_count and the holders of a Role; refuse deleting a Role in use (ROLE_IN_USE)</t>
  </si>
  <si>
    <t>Build the sectioned picker, the Role detail page, edit mode and the new Roles list</t>
  </si>
  <si>
    <t>Self-test edit add and remove, the locked CEO Role, delete in use, another company's Role</t>
  </si>
  <si>
    <t>Design the profile fields, the editable whitelist and the display rule for names</t>
  </si>
  <si>
    <t>Add full_name to User and the profile fields to Employee, with migrations (blank allowed for old rows)</t>
  </si>
  <si>
    <t>Profile endpoint with the whitelist; registration and Employee create/edit with the name</t>
  </si>
  <si>
    <t>Add employee_name next to every employee_email in the serializers; give the demo people names in seed_demo_data</t>
  </si>
  <si>
    <t>Show the full name wherever a person appears (shared display helper, then every page)</t>
  </si>
  <si>
    <t>Self-test that email, roles and salary cannot be changed through the profile, old rows without a name, another company</t>
  </si>
  <si>
    <t>Design the My Profile page for employees and for the Platform Admin</t>
  </si>
  <si>
    <t>Build My Profile (view, edit, errors, unsaved-change warning) and the user-menu link</t>
  </si>
  <si>
    <t>Self-test the server field errors, the Platform Admin view, and that email cannot be edited</t>
  </si>
  <si>
    <t>Design the temporary-password rule and the PASSWORD_CHANGE_REQUIRED gate</t>
  </si>
  <si>
    <t>Change-password endpoint with the token blacklist</t>
  </si>
  <si>
    <t>Temporary password, must_change_password and the PASSWORD_CHANGE_REQUIRED gate; keep the explicit-password path so older tests pass</t>
  </si>
  <si>
    <t>Change-password form on My Profile, the forced redirect, the Employee create form (autocomplete off and new-password) and the one-time temporary password with Copy</t>
  </si>
  <si>
    <t>Self-test a wrong current password, the temporary password shown once, old tokens dead, the gate on every other endpoint</t>
  </si>
  <si>
    <t>Design the detail page sections and who may see which field</t>
  </si>
  <si>
    <t>GET /employees/{id}/access/ (Roles and effective Permissions); hide contact fields unless self, manager chain or manage_employees (reuse can_view_employee_data)</t>
  </si>
  <si>
    <t>Build the detail page with the profile, hierarchy and Permissions sections</t>
  </si>
  <si>
    <t>Self-test a person with no Role, several Roles, a colleague outside the reporting line, salary visibility, another company</t>
  </si>
  <si>
    <t>Design the Team Attendance page and the scope rule (whole company with the Permission, otherwise subordinates)</t>
  </si>
  <si>
    <t>Add view_team_attendance to the catalog; build the team endpoint on month_calendar with check-in, check-out and hours; scope with get_all_subordinates</t>
  </si>
  <si>
    <t>Build the page: dropdown, month navigation, calendar, cards and the day table; sidebar item shown only when allowed</t>
  </si>
  <si>
    <t>Self-test the CEO, a manager with a team, an employee with no team, an employee outside scope, another company</t>
  </si>
  <si>
    <t>Design the states, the grace period, the restricted-mode allow-list and the reminder thresholds</t>
  </si>
  <si>
    <t>Add the period fields and the new statuses to Subscription with a migration that gives old rows a period</t>
  </si>
  <si>
    <t>days_left helper, status transitions, process_subscriptions command and the billing_reminder Notification kind</t>
  </si>
  <si>
    <t>Restricted-mode permission class in the default permission classes with the allow-list; keep the test helper and seed data working</t>
  </si>
  <si>
    <t>Restricted banner and a route guard that leaves only the Billing pages open</t>
  </si>
  <si>
    <t>Self-test the days left on boundary days and time zones, the job run twice, the grace period, the allow-list, and that Suspend still blocks login</t>
  </si>
  <si>
    <t>Design the price rules, the payment states, the renewal date math and the invoice-on-approval rule</t>
  </si>
  <si>
    <t>PaymentSubmission model with the unique transaction id and the one-pending rule, plus invoice fields for method and transaction id</t>
  </si>
  <si>
    <t>Quote endpoint and price rules; submit, list, approve and reject endpoints; extension and invoice creation; notifications</t>
  </si>
  <si>
    <t>Add manage_billing to the catalog; endpoint matrix coverage; audit log and PlatformActionLog entries</t>
  </si>
  <si>
    <t>Self-test approving twice, a duplicate transaction id, a tampered amount, another company, renewal date math, 1, 12 and 36 months</t>
  </si>
  <si>
    <t>Design the four screens: choose a plan, pay, waiting and rejected</t>
  </si>
  <si>
    <t>Register creates pending_payment; the subscription status comes back in me; payment instructions come from server settings</t>
  </si>
  <si>
    <t>Build the plan page with the months selector and live quote, the payment form, the waiting page with polling and the rejected state</t>
  </si>
  <si>
    <t>Self-test every duration, a wrong or missing field, resubmitting after a rejection, closing and reopening the browser while waiting</t>
  </si>
  <si>
    <t>Design the Payments review page and the Subscriptions timeline</t>
  </si>
  <si>
    <t>Admin endpoint listing subscriptions with filters and days left, and the pending-payments count</t>
  </si>
  <si>
    <t>Build the two pages, the confirm and reject dialogs and the sidebar badge</t>
  </si>
  <si>
    <t>Self-test approve, reject without and with a note, an already decided payment, the filters, a company user trying the endpoints</t>
  </si>
  <si>
    <t>Design the timeline card, the renewal flow and the invoice detail page</t>
  </si>
  <si>
    <t>Extend process_subscriptions to create the renewal Invoice 7 days before the end (idempotent); invoice detail with payment info</t>
  </si>
  <si>
    <t>Build the timeline card, the Renew flow with the pending banner, the invoice detail page and Print</t>
  </si>
  <si>
    <t>Self-test 8 days, 7 days, 1 day and 0 days left, the job run twice, a pending renewal, another company's invoice</t>
  </si>
  <si>
    <t>Design both detail pages, the Head field and what a viewer without task access sees</t>
  </si>
  <si>
    <t>Add Department.head (an Employee of the same company) with a migration</t>
  </si>
  <si>
    <t>GET /departments/{id}/overview/ and /designations/{id}/overview/ with hierarchy-scoped task details; refuse delete while in use</t>
  </si>
  <si>
    <t>Build the Department detail page, the Designation detail page, list links and the Head selector</t>
  </si>
  <si>
    <t>Self-test a Department with no members, with overdue tasks, a viewer outside the chain, delete in use, another company</t>
  </si>
  <si>
    <t>Design the upgrade quote, the proration formula and the downgrade-at-renewal rule</t>
  </si>
  <si>
    <t>Upgrade quote endpoint, upgrade approval through the ST-146 flow, downgrade rule</t>
  </si>
  <si>
    <t>Build the Change plan page, the quote and the payment form</t>
  </si>
  <si>
    <t>Self-test a quote on day 1 and on the last day, same plan, a downgrade with a too-large team, a pending submission already open</t>
  </si>
  <si>
    <t>Design the company detail page and exactly what it may show</t>
  </si>
  <si>
    <t>GET /platform-admin/admin/companies/{id}/ with the aggregated, privacy-safe data</t>
  </si>
  <si>
    <t>Build the detail page and link the company list rows</t>
  </si>
  <si>
    <t>Self-test a company with no payments, a suspended company, that no employee-level data is returned, a company user calling it</t>
  </si>
  <si>
    <t>Design the dashboard cards, the two charts and the Needs attention list</t>
  </si>
  <si>
    <t>Summary service and endpoint for companies by state, revenue, dues and the attention counts</t>
  </si>
  <si>
    <t>Build the dashboard with MetricCards, charts and the attention list; make it the Platform Admin home</t>
  </si>
  <si>
    <t>Self-test with no companies, many companies (query count), revenue after an approval, a company user calling it</t>
  </si>
  <si>
    <t>Design the note dialogs, the Request access form and the Help &amp; Support page</t>
  </si>
  <si>
    <t>Add TicketResolution note (resolution_note) to SupportTicket with a migration</t>
  </si>
  <si>
    <t>Require the note in suspend, activate and resolve; return it in the Activity and ticket APIs</t>
  </si>
  <si>
    <t>Note dialogs, Request access form, Help &amp; Support page, sidebar cleanup</t>
  </si>
  <si>
    <t>Self-test a missing or short note, request access twice, a ticket from another company, the sidebar for every role</t>
  </si>
  <si>
    <t>Update the demo script with the Sprint 6 flows, in order, with the data each step needs</t>
  </si>
  <si>
    <t>Add the new requirements to the traceability list with evidence and regenerate the documents</t>
  </si>
  <si>
    <t>Update the Selenium helpers and older tests for the registration and billing flow, names and the new menus</t>
  </si>
  <si>
    <t>Rehearsal: follow the script end to end on a clean install with demo data and log every slip</t>
  </si>
  <si>
    <t>Bug-fix buffer: fix the problems found in the rehearsal</t>
  </si>
  <si>
    <t>Run both test suites, npm run lint and npm run build on the final build and tag the release</t>
  </si>
  <si>
    <t>Permission catalog in code and Roles page bug fix</t>
  </si>
  <si>
    <t>Roles v2: sections, role detail and role edit</t>
  </si>
  <si>
    <t>Names, profile data and the profile API</t>
  </si>
  <si>
    <t>My Profile page for every user</t>
  </si>
  <si>
    <t>Password safety: change password and temporary password</t>
  </si>
  <si>
    <t>Employee detail page v2</t>
  </si>
  <si>
    <t>Team attendance with employee dropdown</t>
  </si>
  <si>
    <t>Subscription period, days left, reminders and restricted mode</t>
  </si>
  <si>
    <t>Duration pricing, manual payment submission and admin approval</t>
  </si>
  <si>
    <t>Registration with plan choice, payment and waiting page</t>
  </si>
  <si>
    <t>Platform Admin payments review and subscriptions timeline</t>
  </si>
  <si>
    <t>Company Billing timeline, renewal and invoice detail</t>
  </si>
  <si>
    <t>Department and Designation detail pages</t>
  </si>
  <si>
    <t>Plan upgrade request with extra amount</t>
  </si>
  <si>
    <t>Platform Admin company detail page</t>
  </si>
  <si>
    <t>Platform Admin dashboard</t>
  </si>
  <si>
    <t>Platform Admin notes, access request, support request and sidebar cleanup</t>
  </si>
  <si>
    <t>Sprint 6 regression, documents and demo script</t>
  </si>
  <si>
    <t>TC-90</t>
  </si>
  <si>
    <t>[Selenium] As the CEO create a Role and tick one Permission from every module — expect the new Role card to list all of them, not four</t>
  </si>
  <si>
    <t>TC-91</t>
  </si>
  <si>
    <t>[Selenium] Open the Roles page — expect Permissions grouped by module, each with a description, and every name present in the backend</t>
  </si>
  <si>
    <t>TC-92</t>
  </si>
  <si>
    <t>[Selenium] As the CEO open a Role's detail page — expect Permissions grouped by module with descriptions and the list of employees who hold it</t>
  </si>
  <si>
    <t>TC-93</t>
  </si>
  <si>
    <t>[Selenium] Edit a Role: add and remove Permissions and save — expect the detail page and the Roles list to show the change; the CEO Role shows no Edit button</t>
  </si>
  <si>
    <t>TC-94</t>
  </si>
  <si>
    <t>[Selenium] Delete a Role that an Employee holds — expect a clear refusal and the Role still listed</t>
  </si>
  <si>
    <t>TC-95</t>
  </si>
  <si>
    <t>[Selenium] Register a new company with a full name — expect the top bar and the Employees list to show that name</t>
  </si>
  <si>
    <t>TC-96</t>
  </si>
  <si>
    <t>[API] PATCH the profile with a new phone and also with email, department and salary — expect only the phone changed and the other fields ignored or refused</t>
  </si>
  <si>
    <t>TC-97</t>
  </si>
  <si>
    <t>[Selenium] Open My Profile as an Employee, change the phone number, save and reload — expect the new number and no way to edit the email</t>
  </si>
  <si>
    <t>TC-98</t>
  </si>
  <si>
    <t>[Selenium] Open My Profile as the Platform Admin — expect the name and contact fields and no company fields</t>
  </si>
  <si>
    <t>TC-99</t>
  </si>
  <si>
    <t>[Selenium] As the CEO add an Employee without typing a password — expect a temporary password shown once, and the browser not filling the email or password fields</t>
  </si>
  <si>
    <t>TC-100</t>
  </si>
  <si>
    <t>[Selenium] Log in as that Employee — expect to be sent to My Profile to set a new password before anything else; change it with a wrong current password first — expect an error, then success</t>
  </si>
  <si>
    <t>TC-101</t>
  </si>
  <si>
    <t>[Selenium] Change a password, then use an older refresh token — expect it refused</t>
  </si>
  <si>
    <t>TC-102</t>
  </si>
  <si>
    <t>[Selenium] As the CEO open an Employee's detail page — expect the full profile and the Permissions grouped by module under each Role</t>
  </si>
  <si>
    <t>TC-103</t>
  </si>
  <si>
    <t>[Selenium] As an Employee open a colleague outside my reporting line — expect name and designation only, with no phone, address or salary</t>
  </si>
  <si>
    <t>TC-104</t>
  </si>
  <si>
    <t>[Selenium] As the CEO pick an employee in Team Attendance — expect that person's calendar, cards and a table of check-in and check-out times</t>
  </si>
  <si>
    <t>TC-105</t>
  </si>
  <si>
    <t>[Selenium] As a Department Head open Team Attendance — expect only the people in the team in the dropdown; as a plain Employee expect no menu item</t>
  </si>
  <si>
    <t>TC-106</t>
  </si>
  <si>
    <t>[Selenium] Log in as the CEO of a company whose subscription has expired — expect the restricted-mode banner and only the Billing page working; other pages show a clear message</t>
  </si>
  <si>
    <t>TC-107</t>
  </si>
  <si>
    <t>[Selenium] Run the daily command for a company 7 days before its end — expect a billing reminder in the CEO's notifications, and no second reminder when the command runs again</t>
  </si>
  <si>
    <t>TC-108</t>
  </si>
  <si>
    <t>[API] Ask for a quote for 1, 3 and 12 months — expect price times months, the 12-month discount, and a 40-month request refused</t>
  </si>
  <si>
    <t>TC-109</t>
  </si>
  <si>
    <t>[API] Submit the same transaction id twice and approve one submission twice — expect the second submission refused and no second invoice or extension</t>
  </si>
  <si>
    <t>TC-110</t>
  </si>
  <si>
    <t>[Selenium] Register a new company, choose Professional for 3 months and submit a bKash payment — expect the waiting page and no access to the dashboard</t>
  </si>
  <si>
    <t>TC-111</t>
  </si>
  <si>
    <t>[Selenium] As the Platform Admin approve that payment, then as the new owner reload — expect the dashboard and a paid invoice for 3 times the monthly price less any discount</t>
  </si>
  <si>
    <t>TC-112</t>
  </si>
  <si>
    <t>[Selenium] As the Platform Admin open Payments — expect pending submissions with details; approve one — expect it Approved with the new end date and invoice number</t>
  </si>
  <si>
    <t>TC-113</t>
  </si>
  <si>
    <t>[Selenium] Reject a payment without a note — expect a refusal; with a note — expect Rejected and the note visible to the company</t>
  </si>
  <si>
    <t>TC-114</t>
  </si>
  <si>
    <t>[Selenium] Open Subscriptions — expect companies sorted by days left with the expiring ones highlighted</t>
  </si>
  <si>
    <t>TC-115</t>
  </si>
  <si>
    <t>[Selenium] Open Billing as the CEO — expect the timeline with days left, the end date, the status and the invoice list</t>
  </si>
  <si>
    <t>TC-116</t>
  </si>
  <si>
    <t>[Selenium] Open an invoice — expect its full detail with payment method and transaction id; open another company's invoice address — expect not found</t>
  </si>
  <si>
    <t>TC-117</t>
  </si>
  <si>
    <t>[Selenium] For a company 5 days from its end — expect Expiring soon and a renewal invoice, and after submitting the payment a pending banner</t>
  </si>
  <si>
    <t>TC-118</t>
  </si>
  <si>
    <t>[Selenium] Open a Department as the CEO — expect its members with designation and open-task counts, the task summary and the running tasks</t>
  </si>
  <si>
    <t>TC-119</t>
  </si>
  <si>
    <t>[Selenium] Open the same Department as an Employee outside the manager chain — expect counts but no task titles</t>
  </si>
  <si>
    <t>TC-120</t>
  </si>
  <si>
    <t>[Selenium] Open a Designation — expect the employees who hold it; delete it while in use — expect a refusal</t>
  </si>
  <si>
    <t>TC-121</t>
  </si>
  <si>
    <t>[Selenium] As the CEO on Basic choose Professional — expect the extra amount based on the days left and no change to the end date</t>
  </si>
  <si>
    <t>TC-122</t>
  </si>
  <si>
    <t>[Selenium] Submit the upgrade payment, then approve it as Platform Admin — expect Professional, an invoice for the extra amount and the higher employee limit</t>
  </si>
  <si>
    <t>TC-123</t>
  </si>
  <si>
    <t>[Selenium] As the Platform Admin open a company's detail page — expect plan, timeline, owner contact, counts and recent actions, and no employee names</t>
  </si>
  <si>
    <t>TC-124</t>
  </si>
  <si>
    <t>[Selenium] Suspend the company from its detail page with a note — expect status Suspended and the note in the recent actions</t>
  </si>
  <si>
    <t>TC-125</t>
  </si>
  <si>
    <t>[Selenium] Log in as the Platform Admin — expect the dashboard with company-state cards and revenue and due numbers that match the invoices</t>
  </si>
  <si>
    <t>TC-126</t>
  </si>
  <si>
    <t>[Selenium] Approve a pending payment — expect the pending-payments card down by one and revenue up by that amount</t>
  </si>
  <si>
    <t>TC-127</t>
  </si>
  <si>
    <t>[Selenium] As the Platform Admin suspend a company with a note — expect the note in Activity; suspend without a note — expect a refusal</t>
  </si>
  <si>
    <t>TC-128</t>
  </si>
  <si>
    <t>[Selenium] As the Platform Admin request access to a company from the Companies page — expect the request in Access Requests as Pending</t>
  </si>
  <si>
    <t>TC-129</t>
  </si>
  <si>
    <t>[Selenium] As an Employee send a ticket from Help &amp; Support — expect it Open in my list; after the admin resolves it with a note expect Resolved and the note</t>
  </si>
  <si>
    <t>TC-130</t>
  </si>
  <si>
    <t>[Selenium] Open the sidebar as the CEO — expect no item marked Soon</t>
  </si>
  <si>
    <t>TC-131</t>
  </si>
  <si>
    <t>[Rehearsal] Follow the updated demo script on a clean install with demo data — expect every step to work</t>
  </si>
  <si>
    <t>TC-132</t>
  </si>
  <si>
    <t>[Rehearsal] Run both test suites, npm run lint and npm run build on the final build — expect all to pass</t>
  </si>
  <si>
    <t>Sprint 6 planning session — confirm scope, the order of the stories (the order they are implemented), the owners and the cut line</t>
  </si>
  <si>
    <t>Daily coordination and progress tracking, with extra attention to the stories that others need: ST-138 (catalog), ST-140 (names and profile), ST-145 (subscription period) and ST-146 (payments)</t>
  </si>
  <si>
    <t>Cross-test hand-off tracking — confirm each story is tested by a non-owner and that no tester carries too many</t>
  </si>
  <si>
    <t>Mid-sprint check on Oct 28 — decide if the Should stories (ST-151, ST-152, ST-153) stay in Sprint 6 or move to Sprint 7</t>
  </si>
  <si>
    <t>Sprint 6 review and retrospective facilitation</t>
  </si>
  <si>
    <t>Total Story Points</t>
  </si>
  <si>
    <t>Ordinis — Gap Register (gaps and bugs found after Sprint 5)</t>
  </si>
  <si>
    <t>The 23 items Saif listed on Oct 20 (G-01 to G-23, same order as his list), checked against the code, plus 8 more found during the analysis (X-01 to X-08). Every row names the Sprint 6 story that fixes it.</t>
  </si>
  <si>
    <t>Summary</t>
  </si>
  <si>
    <t>Gaps from your list</t>
  </si>
  <si>
    <t>Extra findings</t>
  </si>
  <si>
    <t>Open</t>
  </si>
  <si>
    <t>Fixed</t>
  </si>
  <si>
    <t>High priority</t>
  </si>
  <si>
    <t>Bugs (G-03, G-08, X-02)</t>
  </si>
  <si>
    <t>Types: Bug = something is wrong now; Missing feature = not built; Enhancement = built but weak; Design gap = built in a way that cannot work; Gap = a missing piece. Size: S under 1 day, M about 1 to 2 days, L more. Update the Status column to Fixed only when the story is Done.</t>
  </si>
  <si>
    <t>Gap ID</t>
  </si>
  <si>
    <t>No. in your list</t>
  </si>
  <si>
    <t>Area</t>
  </si>
  <si>
    <t>Type</t>
  </si>
  <si>
    <t>What is wrong or missing</t>
  </si>
  <si>
    <t>What the code shows (root cause or current state)</t>
  </si>
  <si>
    <t>Recommended fix and the better way</t>
  </si>
  <si>
    <t>Size</t>
  </si>
  <si>
    <t>Depends on</t>
  </si>
  <si>
    <t>Sprint 6 story</t>
  </si>
  <si>
    <t>G-01</t>
  </si>
  <si>
    <t>Organization</t>
  </si>
  <si>
    <t>Missing feature</t>
  </si>
  <si>
    <t>The Department page has no detail view: who is in a department, what each person does, what work is running.</t>
  </si>
  <si>
    <t>Departments have only list and create/edit/delete. Department has no head field and there is no overview endpoint. Task visibility follows the hierarchy rule (FR-13), so a detail page must not show everyone's tasks to everyone.</t>
  </si>
  <si>
    <t>Department detail page with a GET /departments/{id}/overview/ endpoint: members with designation, manager and open-task counts, a task summary and the running tasks. Add Department.head. Task titles only to people who may see them; everybody else sees counts.</t>
  </si>
  <si>
    <t>L</t>
  </si>
  <si>
    <t>G-04</t>
  </si>
  <si>
    <t>G-02</t>
  </si>
  <si>
    <t>Enhancement</t>
  </si>
  <si>
    <t>The Designations page is only a list; it needs improving and probably a detail page.</t>
  </si>
  <si>
    <t>List and CRUD only. Deleting a Designation silently clears the link on every employee who holds it (the foreign key is SET_NULL).</t>
  </si>
  <si>
    <t>Designation detail page listing the people who hold it, with department. Refuse the delete while the Designation is in use and say who holds it.</t>
  </si>
  <si>
    <t>S</t>
  </si>
  <si>
    <t>G-03</t>
  </si>
  <si>
    <t>Bug</t>
  </si>
  <si>
    <t>On the Employee page, creating an employee shows email and password already filled in by the browser.</t>
  </si>
  <si>
    <t>The form inputs have no autocomplete attributes, so the browser password manager fills in the logged-in user's own saved login.</t>
  </si>
  <si>
    <t>Set autocomplete off and new-password. Better way: the CEO never types an employee's password; the system makes a one-time temporary password shown once, and the employee must change it at first login.</t>
  </si>
  <si>
    <t>G-09</t>
  </si>
  <si>
    <t>Profile</t>
  </si>
  <si>
    <t>The Employee detail page is weak: it needs name and email, a full profile, and a permission-wise view of what the person can do.</t>
  </si>
  <si>
    <t>No name exists anywhere: User has only an email and Employee only an employee code. The page shows hierarchy only. The Roles a person holds are not expanded into Permissions.</t>
  </si>
  <si>
    <t>Add full_name (User) and profile fields (Employee: phone, address, emergency contact, joined on). Detail page with the profile, hierarchy and the effective Permissions per Role. Contact data only for the person, their managers and manage_employees; salary only with manage_finance.</t>
  </si>
  <si>
    <t>G-05</t>
  </si>
  <si>
    <t>ST-140, ST-143</t>
  </si>
  <si>
    <t>RBAC</t>
  </si>
  <si>
    <t>The Roles page offers only a few Permission checkboxes; they should be many and arranged in sections.</t>
  </si>
  <si>
    <t>The catalog really has 14 Permissions. The page hardcodes 12 names and 6 of them do not exist in the backend. Permissions have no module sections on screen.</t>
  </si>
  <si>
    <t>Permission catalog in code (codename, name, module, description) synced on migrate; a sectioned picker with Select all. Add a new Permission only together with the feature it protects, because a Permission that protects nothing is misleading.</t>
  </si>
  <si>
    <t>M</t>
  </si>
  <si>
    <t>G-08</t>
  </si>
  <si>
    <t>ST-138, ST-139</t>
  </si>
  <si>
    <t>G-06</t>
  </si>
  <si>
    <t>There is no page that explains what each Permission and each Role lets a person do; headings alone are not clear.</t>
  </si>
  <si>
    <t>The Permission API returns only codename, name and module. There is no description and no Role detail page.</t>
  </si>
  <si>
    <t>A plain-language description for every Permission and a Role detail page that groups Permissions by module with those descriptions and lists the people who hold the Role.</t>
  </si>
  <si>
    <t>G-07</t>
  </si>
  <si>
    <t>A Role cannot be edited after it is created.</t>
  </si>
  <si>
    <t>The API already allows PUT and PATCH with manage_roles; the page has only create and delete. The CEO system Role must stay locked.</t>
  </si>
  <si>
    <t>Edit form for name, description and Permissions, with a warning of how many employees are affected; the CEO Role stays read-only and says why.</t>
  </si>
  <si>
    <t>A Role created with many Permissions shows only 4 in the existing-Roles list.</t>
  </si>
  <si>
    <t>Root cause found in the code: six of the page's hardcoded names (approve_leave, approve_request, manage_attendance, manage_payroll, view_finance, approve_expense) do not exist in the backend; the create handler keeps only real ids and silently drops the rest, so the Role is saved with fewer Permissions and the page never says so.</t>
  </si>
  <si>
    <t>Use the backend catalog as the only source for the page; if a ticked Permission is not saved, show an error; add a test that every permission_required codename used in the views exists in the catalog so this class of bug cannot return.</t>
  </si>
  <si>
    <t>Every employee should have their own profile section where they can see and edit their details.</t>
  </si>
  <si>
    <t>/auth/me/ is read-only. There is no self-edit endpoint and no change-password endpoint.</t>
  </si>
  <si>
    <t>GET and PATCH /auth/profile/ with a whitelist (full name, phone, address, emergency contact); email, department, designation, manager, Roles and salary can never be changed through it. Change password needs the current password and ends other sessions. A My Profile page.</t>
  </si>
  <si>
    <t>ST-140, ST-141, ST-142</t>
  </si>
  <si>
    <t>G-10</t>
  </si>
  <si>
    <t>Attendance</t>
  </si>
  <si>
    <t>A CEO or anyone with the Permission should see all employees' attendance (days present, times) by choosing an employee from a dropdown.</t>
  </si>
  <si>
    <t>The attendance API is own-data only. The SRS marks FR-13 as Partly for exactly this: a manager cannot list a team member's attendance.</t>
  </si>
  <si>
    <t>A new Permission view_team_attendance; a team endpoint built on the existing month calendar plus check-in, check-out and hours; scope is the whole company with the Permission, otherwise the user's subordinates; outside scope answers 404.</t>
  </si>
  <si>
    <t>G-11</t>
  </si>
  <si>
    <t>The Platform Admin side needs a profile section too.</t>
  </si>
  <si>
    <t>A Platform Admin is a User without an Employee, with no name and no profile page.</t>
  </si>
  <si>
    <t>Reuse the same profile endpoint and My Profile page (full_name lives on User, so it works without an Employee).</t>
  </si>
  <si>
    <t>Low</t>
  </si>
  <si>
    <t>ST-140, ST-141</t>
  </si>
  <si>
    <t>G-12</t>
  </si>
  <si>
    <t>Platform Admin</t>
  </si>
  <si>
    <t>The Companies page has no company detail page; the Platform Admin needs a company's details and its CEO's information.</t>
  </si>
  <si>
    <t>The page is a list with Suspend and Activate only; there is no detail endpoint.</t>
  </si>
  <si>
    <t>Company detail page and endpoint: plan, subscription timeline, owner (CEO) contact, employee count against the limit, payments and tickets summary, recent platform actions. Counts and contacts only, never employee names, tasks or salary, so Break-Glass stays the only way into company data.</t>
  </si>
  <si>
    <t>G-17</t>
  </si>
  <si>
    <t>G-13</t>
  </si>
  <si>
    <t>The Platform Admin needs a dashboard: companies by state, revenue, dues and billing at a glance.</t>
  </si>
  <si>
    <t>The Platform Admin home is the Companies list. Revenue and dues cannot exist yet because payments are not recorded.</t>
  </si>
  <si>
    <t>A summary endpoint and a dashboard (cards, revenue per month, companies by state, a Needs attention list), built after the billing stories so the numbers are real.</t>
  </si>
  <si>
    <t>G-17, G-18</t>
  </si>
  <si>
    <t>G-14</t>
  </si>
  <si>
    <t>Gap</t>
  </si>
  <si>
    <t>Suspend and Activate on the Companies page have no place to write a note, while the Activity page shows a note column.</t>
  </si>
  <si>
    <t>PlatformActionLog has a note field but the endpoints take no body, so the note is always empty.</t>
  </si>
  <si>
    <t>Require a note (at least 10 characters) on suspend, activate and ticket resolve; show it in Activity and on the company detail page.</t>
  </si>
  <si>
    <t>G-15</t>
  </si>
  <si>
    <t>There is nothing to request access to a company (Support Access Request).</t>
  </si>
  <si>
    <t>The backend endpoint POST /platform-admin/requests/ exists and is tested; there is no form in the page.</t>
  </si>
  <si>
    <t>A Request access form (reason) on each company row; later also from the company detail page and from a ticket.</t>
  </si>
  <si>
    <t>G-16</t>
  </si>
  <si>
    <t>A company user has no way to ask the platform for support: no form, no button.</t>
  </si>
  <si>
    <t>The backend endpoint POST /platform-admin/company/tickets/ exists; there is no page. A ticket has no resolution message for the person who sent it.</t>
  </si>
  <si>
    <t>A Help &amp; Support page: send a ticket, see my tickets with status and the resolution note the admin must write.</t>
  </si>
  <si>
    <t>Billing</t>
  </si>
  <si>
    <t>Billing needs a timeline page, for every company and for the Platform Admin: days left since purchase, counting down daily, a reminder 5 to 7 days before the end, and automatic deactivation if unpaid.</t>
  </si>
  <si>
    <t>A subscription has only started_on: no end date, no reminders, no expiry; suspension is manual.</t>
  </si>
  <si>
    <t>Period start and end; days left computed from today's date in the company time zone (never stored or decremented by a job, so a missed job cannot make it wrong); in-app reminders at 7, 3 and 1 days; a daily command plus a check on every request; after the end plus a 3-day grace the company becomes restricted (see X-03), not locked out.</t>
  </si>
  <si>
    <t>ST-145, ST-149, ST-148</t>
  </si>
  <si>
    <t>G-18</t>
  </si>
  <si>
    <t>Design gap</t>
  </si>
  <si>
    <t>The billing sector is incomplete: a new client should register, choose a plan, pay manually (bKash, Nagad or other) by submitting a form, wait, and be approved by the Platform Admin.</t>
  </si>
  <si>
    <t>Every new company starts on Basic and is active at once; no payment record exists.</t>
  </si>
  <si>
    <t>Register creates the company as pending_payment; plan and months; a manual payment form; a waiting page; a PaymentSubmission model; a Platform Admin review page; the company starts only when the admin approves. The amount is computed on the server and a transaction id can be used once.</t>
  </si>
  <si>
    <t>ST-146, ST-147, ST-148</t>
  </si>
  <si>
    <t>G-19</t>
  </si>
  <si>
    <t>A client should be able to choose monthly, yearly or a custom length (for example 3 months), with price and timeline following it.</t>
  </si>
  <si>
    <t>Plans have only a monthly price.</t>
  </si>
  <si>
    <t>Price = monthly price × months (1 to 36), with 12 months costing 10 months (the rule is one constant and easy to change); a quote endpoint so the screen and the server always agree.</t>
  </si>
  <si>
    <t>ST-146, ST-147</t>
  </si>
  <si>
    <t>G-20</t>
  </si>
  <si>
    <t>When the time ends, paying again should create an invoice automatically (or a better way).</t>
  </si>
  <si>
    <t>Invoices come from a command, one per month, and are not tied to any payment.</t>
  </si>
  <si>
    <t>Better way: create the renewal Invoice 7 days before the end so the client sees what to pay; the client pays and submits the transaction against it; the admin's approval marks it Paid and extends the subscription from the old end date, so no days are lost. An invoice is created on approval, not when a form is submitted.</t>
  </si>
  <si>
    <t>ST-146, ST-149</t>
  </si>
  <si>
    <t>G-21</t>
  </si>
  <si>
    <t>Invoices need a detail page.</t>
  </si>
  <si>
    <t>The Billing page only lists invoices.</t>
  </si>
  <si>
    <t>An invoice detail page with number, period, months, amount, dates, payment method, transaction id and a Print button; another company's invoice is a 404.</t>
  </si>
  <si>
    <t>G-22</t>
  </si>
  <si>
    <t>There is no way to update a plan; the client should see the extra amount, pay, request, and the admin approves.</t>
  </si>
  <si>
    <t>change_plan exists only as a service used by the set_company_plan command.</t>
  </si>
  <si>
    <t>Upgrade request: extra = (new monthly price − old monthly price) × days left ÷ 30, from the server; paid outside, submitted as a payment of kind upgrade; the admin approves and the plan changes at once. A lower plan only at the next renewal, and only if the team fits.</t>
  </si>
  <si>
    <t>G-23</t>
  </si>
  <si>
    <t>UI</t>
  </si>
  <si>
    <t>Cleanup</t>
  </si>
  <si>
    <t>Sidebar items marked Soon must be completed or removed.</t>
  </si>
  <si>
    <t>Projects, Payroll and Expenses are muted Soon items. Payroll is already covered by Salary Structures and Payslips; Projects and Expense are listed as Not built in the SRS.</t>
  </si>
  <si>
    <t>Remove all three so nothing in the menu looks unfinished.</t>
  </si>
  <si>
    <t>X-01</t>
  </si>
  <si>
    <t>Gap (found in analysis)</t>
  </si>
  <si>
    <t>Deleting a Role that employees still hold is not handled.</t>
  </si>
  <si>
    <t>The error-handling reference lists it as Not handled; only the CEO system Role and a Role used by an approval step are protected.</t>
  </si>
  <si>
    <t>Refuse the delete with code ROLE_IN_USE and show who holds the Role.</t>
  </si>
  <si>
    <t>X-02</t>
  </si>
  <si>
    <t>Bug (found in analysis)</t>
  </si>
  <si>
    <t>Deleting a Department silently clears the Department on its employees.</t>
  </si>
  <si>
    <t>Employee.department is SET_NULL.</t>
  </si>
  <si>
    <t>Refuse the delete while the Department has employees and say who is in it (same rule as the Designation).</t>
  </si>
  <si>
    <t>X-03</t>
  </si>
  <si>
    <t>Design gap (found in analysis)</t>
  </si>
  <si>
    <t>A company that is deactivated for non-payment could not even log in to pay.</t>
  </si>
  <si>
    <t>Suspend (is_active false) blocks login and every request, which is right for a misuse suspension but wrong for an unpaid plan.</t>
  </si>
  <si>
    <t>A separate restricted mode: the user logs in, but only Billing, payment, profile and support endpoints work (code SUBSCRIPTION_RESTRICTED). The same gate also holds a new company in pending_payment, so one mechanism serves both. Suspend stays a full block.</t>
  </si>
  <si>
    <t>X-04</t>
  </si>
  <si>
    <t>Nothing checks that the codenames used in the views exist in the Permission catalog, which is how G-08 happened.</t>
  </si>
  <si>
    <t>Permission codenames are plain strings in views and in the frontend.</t>
  </si>
  <si>
    <t>A test that reads every permission_required in the ViewSets and fails if the codename is not in the catalog.</t>
  </si>
  <si>
    <t>X-05</t>
  </si>
  <si>
    <t>Users cannot change their password and cannot end their other sessions.</t>
  </si>
  <si>
    <t>There is no change-password endpoint.</t>
  </si>
  <si>
    <t>Change password with the current password; blacklist the user's other refresh tokens; a temporary password forces a change at first login.</t>
  </si>
  <si>
    <t>X-06</t>
  </si>
  <si>
    <t>Design rule (found in analysis)</t>
  </si>
  <si>
    <t>Manual payments can be faked or repeated.</t>
  </si>
  <si>
    <t>No payment model exists yet.</t>
  </si>
  <si>
    <t>The amount is always computed on the server, a transaction id is unique per method, one pending submission per company, and the approval is idempotent (locked row) so approving twice never extends twice. A company can never approve its own payment.</t>
  </si>
  <si>
    <t>X-07</t>
  </si>
  <si>
    <t>Quality</t>
  </si>
  <si>
    <t>The SRS traceability list and the documents do not yet know the new features.</t>
  </si>
  <si>
    <t>Documents are generated from the code, but the requirement list is a hand-kept table with code evidence.</t>
  </si>
  <si>
    <t>Add the new requirements with evidence, regenerate the documents, update the demo script.</t>
  </si>
  <si>
    <t>all</t>
  </si>
  <si>
    <t>X-08</t>
  </si>
  <si>
    <t>Risk (found in analysis)</t>
  </si>
  <si>
    <t>Existing tests and Selenium helpers assume a company is active right after register and that an employee is created with a typed password.</t>
  </si>
  <si>
    <t>register_company in the backend test helpers and the Selenium login flow.</t>
  </si>
  <si>
    <t>Keep an explicit-password path for employee creation; make the register_company test helper activate the subscription; update the Selenium helpers in ST-154.</t>
  </si>
  <si>
    <t>ST-145, ST-155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</si>
</sst>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charset val="1"/>
    </font>
    <font>
      <b/>
      <sz val="14"/>
      <color rgb="FF14142B"/>
      <name val="Arial"/>
      <charset val="1"/>
    </font>
    <font>
      <b/>
      <sz val="10"/>
      <color rgb="FFFFFFFF"/>
      <name val="Arial"/>
      <charset val="1"/>
    </font>
    <font>
      <sz val="10"/>
      <color theme="1"/>
      <name val="Arial"/>
      <charset val="1"/>
    </font>
    <font>
      <i/>
      <sz val="10"/>
      <color rgb="FF374151"/>
      <name val="Arial"/>
      <charset val="1"/>
    </font>
    <font>
      <i/>
      <sz val="9"/>
      <color rgb="FF71717A"/>
      <name val="Arial"/>
      <charset val="1"/>
    </font>
    <font>
      <b/>
      <sz val="10"/>
      <color rgb="FF16A34A"/>
      <name val="Arial"/>
      <charset val="1"/>
    </font>
    <font>
      <b/>
      <sz val="10"/>
      <color rgb="FFCC0000"/>
      <name val="Arial"/>
      <charset val="1"/>
    </font>
    <font>
      <b/>
      <sz val="10"/>
      <color rgb="FFB45309"/>
      <name val="Arial"/>
      <charset val="1"/>
    </font>
    <font>
      <sz val="10"/>
      <name val="Arial"/>
      <charset val="1"/>
    </font>
    <font>
      <b/>
      <i/>
      <sz val="10"/>
      <color rgb="FF14142B"/>
      <name val="Arial"/>
      <charset val="1"/>
    </font>
    <font>
      <b/>
      <sz val="10"/>
      <color theme="1"/>
      <name val="Arial"/>
      <charset val="1"/>
    </font>
    <font>
      <b/>
      <sz val="10"/>
      <color rgb="FFFF9900"/>
      <name val="Arial"/>
      <charset val="1"/>
    </font>
    <font>
      <i/>
      <sz val="10"/>
      <color rgb="FF71717A"/>
      <name val="Arial"/>
      <charset val="1"/>
    </font>
    <font>
      <b/>
      <sz val="11"/>
      <color rgb="FFFFFFFF"/>
      <name val="Arial"/>
      <charset val="1"/>
    </font>
    <font>
      <sz val="11"/>
      <color theme="1"/>
      <name val="Arial"/>
      <charset val="1"/>
    </font>
    <font>
      <b/>
      <sz val="11"/>
      <color rgb="FF16A34A"/>
      <name val="Arial"/>
      <charset val="1"/>
    </font>
    <font>
      <b/>
      <sz val="11"/>
      <color rgb="FFCC0000"/>
      <name val="Arial"/>
      <charset val="1"/>
    </font>
    <font>
      <b/>
      <sz val="10"/>
      <color rgb="FFFF0000"/>
      <name val="Arial"/>
      <charset val="1"/>
    </font>
    <font>
      <b/>
      <sz val="10"/>
      <color rgb="FF71717A"/>
      <name val="Arial"/>
      <charset val="1"/>
    </font>
    <font>
      <b/>
      <sz val="10"/>
      <name val="Arial"/>
      <charset val="1"/>
    </font>
    <font>
      <b/>
      <sz val="10"/>
      <color rgb="FFDC2626"/>
      <name val="Arial"/>
      <charset val="1"/>
    </font>
    <font>
      <b/>
      <sz val="10"/>
      <color rgb="FF16A34A"/>
      <name val="Arial"/>
      <family val="2"/>
    </font>
  </fonts>
  <fills count="11">
    <fill>
      <patternFill patternType="none"/>
    </fill>
    <fill>
      <patternFill patternType="gray125"/>
    </fill>
    <fill>
      <patternFill patternType="solid">
        <fgColor rgb="FF14142B"/>
        <bgColor rgb="FF000000"/>
      </patternFill>
    </fill>
    <fill>
      <patternFill patternType="solid">
        <fgColor rgb="FFF2F2F2"/>
        <bgColor rgb="FFEDE9FE"/>
      </patternFill>
    </fill>
    <fill>
      <patternFill patternType="solid">
        <fgColor rgb="FFBFDBFE"/>
        <bgColor rgb="FFC7D2FE"/>
      </patternFill>
    </fill>
    <fill>
      <patternFill patternType="solid">
        <fgColor rgb="FFFBCFE8"/>
        <bgColor rgb="FFD9D9D9"/>
      </patternFill>
    </fill>
    <fill>
      <patternFill patternType="solid">
        <fgColor rgb="FFC7D2FE"/>
        <bgColor rgb="FFBFDBFE"/>
      </patternFill>
    </fill>
    <fill>
      <patternFill patternType="solid">
        <fgColor rgb="FFA7F3D0"/>
        <bgColor rgb="FFBFDBFE"/>
      </patternFill>
    </fill>
    <fill>
      <patternFill patternType="solid">
        <fgColor rgb="FFFED7AA"/>
        <bgColor rgb="FFFBCFE8"/>
      </patternFill>
    </fill>
    <fill>
      <patternFill patternType="solid">
        <fgColor rgb="FFFCA5A5"/>
        <bgColor rgb="FFFF8080"/>
      </patternFill>
    </fill>
    <fill>
      <patternFill patternType="solid">
        <fgColor rgb="FFEDE9FE"/>
        <b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8">
    <xf numFmtId="0" fontId="0" fillId="0" borderId="0" xfId="0"/>
    <xf numFmtId="0" fontId="9" fillId="0" borderId="2" xfId="0" applyFont="1" applyBorder="1" applyAlignment="1">
      <alignment horizontal="left" vertical="top" wrapText="1"/>
    </xf>
    <xf numFmtId="0" fontId="20" fillId="10" borderId="2" xfId="0" applyFont="1" applyFill="1" applyBorder="1" applyAlignment="1">
      <alignment horizontal="left" vertical="top" wrapText="1"/>
    </xf>
    <xf numFmtId="0" fontId="3" fillId="0" borderId="2" xfId="0" applyFont="1" applyBorder="1" applyAlignment="1">
      <alignment horizontal="left" vertical="top" wrapText="1"/>
    </xf>
    <xf numFmtId="0" fontId="2" fillId="2" borderId="2" xfId="0" applyFont="1" applyFill="1" applyBorder="1" applyAlignment="1">
      <alignment horizontal="center" vertical="center" wrapText="1"/>
    </xf>
    <xf numFmtId="0" fontId="5" fillId="0" borderId="0" xfId="0" applyFont="1" applyBorder="1"/>
    <xf numFmtId="0" fontId="1" fillId="0" borderId="0" xfId="0" applyFont="1" applyBorder="1"/>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10" fillId="0" borderId="0" xfId="0" applyFont="1" applyBorder="1" applyAlignment="1">
      <alignment vertical="top" wrapText="1"/>
    </xf>
    <xf numFmtId="0" fontId="13" fillId="0" borderId="1" xfId="0" applyFont="1" applyBorder="1" applyAlignment="1"/>
    <xf numFmtId="0" fontId="10" fillId="0" borderId="0" xfId="0" applyFont="1" applyBorder="1" applyAlignment="1"/>
    <xf numFmtId="0" fontId="5" fillId="0" borderId="0" xfId="0" applyFont="1" applyBorder="1" applyAlignment="1"/>
    <xf numFmtId="0" fontId="4" fillId="0" borderId="0" xfId="0" applyFont="1" applyBorder="1" applyAlignment="1">
      <alignment horizontal="left" vertical="top" wrapText="1"/>
    </xf>
    <xf numFmtId="0" fontId="1" fillId="0" borderId="0" xfId="0" applyFont="1" applyBorder="1" applyAlignment="1"/>
    <xf numFmtId="0" fontId="0" fillId="0" borderId="0" xfId="0" applyFont="1" applyAlignment="1"/>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0" fillId="0" borderId="0" xfId="0" applyFont="1"/>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11" fillId="0" borderId="0" xfId="0" applyFont="1" applyAlignment="1"/>
    <xf numFmtId="0" fontId="11" fillId="4"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12" fillId="0" borderId="1" xfId="0" applyFont="1" applyBorder="1" applyAlignment="1">
      <alignment horizontal="left" vertical="top" wrapText="1"/>
    </xf>
    <xf numFmtId="0" fontId="0" fillId="10" borderId="1" xfId="0" applyFont="1" applyFill="1" applyBorder="1" applyAlignment="1"/>
    <xf numFmtId="0" fontId="11" fillId="10" borderId="1" xfId="0" applyFont="1" applyFill="1" applyBorder="1" applyAlignment="1"/>
    <xf numFmtId="0" fontId="14" fillId="2" borderId="1" xfId="0" applyFont="1" applyFill="1" applyBorder="1" applyAlignment="1">
      <alignment horizontal="center" vertical="center"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1" fillId="0" borderId="0" xfId="0" applyFont="1"/>
    <xf numFmtId="0" fontId="14"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2" xfId="0" applyFont="1" applyBorder="1" applyAlignment="1">
      <alignment horizontal="left" vertical="top" wrapText="1"/>
    </xf>
    <xf numFmtId="0" fontId="11" fillId="5" borderId="2" xfId="0" applyFont="1" applyFill="1" applyBorder="1" applyAlignment="1">
      <alignment horizontal="left" vertical="top" wrapText="1"/>
    </xf>
    <xf numFmtId="0" fontId="6" fillId="0" borderId="2" xfId="0" applyFont="1" applyBorder="1" applyAlignment="1">
      <alignment horizontal="left" vertical="top" wrapText="1"/>
    </xf>
    <xf numFmtId="0" fontId="11" fillId="6" borderId="2" xfId="0" applyFont="1" applyFill="1" applyBorder="1" applyAlignment="1">
      <alignment horizontal="left" vertical="top" wrapText="1"/>
    </xf>
    <xf numFmtId="0" fontId="11" fillId="8" borderId="2" xfId="0" applyFont="1" applyFill="1" applyBorder="1" applyAlignment="1">
      <alignment horizontal="left" vertical="top" wrapText="1"/>
    </xf>
    <xf numFmtId="0" fontId="11" fillId="9" borderId="2" xfId="0" applyFont="1" applyFill="1" applyBorder="1" applyAlignment="1">
      <alignment horizontal="left" vertical="top" wrapText="1"/>
    </xf>
    <xf numFmtId="0" fontId="11" fillId="7" borderId="2" xfId="0" applyFont="1" applyFill="1" applyBorder="1" applyAlignment="1">
      <alignment horizontal="left" vertical="top" wrapText="1"/>
    </xf>
    <xf numFmtId="0" fontId="11" fillId="4" borderId="2" xfId="0" applyFont="1" applyFill="1" applyBorder="1" applyAlignment="1">
      <alignment horizontal="left" vertical="top" wrapText="1"/>
    </xf>
    <xf numFmtId="0" fontId="11" fillId="10" borderId="2" xfId="0" applyFont="1" applyFill="1" applyBorder="1"/>
    <xf numFmtId="0" fontId="8" fillId="0" borderId="2" xfId="0" applyFont="1" applyBorder="1" applyAlignment="1">
      <alignment horizontal="left" vertical="top" wrapText="1"/>
    </xf>
    <xf numFmtId="0" fontId="19" fillId="0" borderId="2" xfId="0" applyFont="1" applyBorder="1" applyAlignment="1">
      <alignment horizontal="left" vertical="top" wrapText="1"/>
    </xf>
    <xf numFmtId="0" fontId="20" fillId="0" borderId="0" xfId="0" applyFont="1"/>
    <xf numFmtId="0" fontId="9" fillId="0" borderId="2" xfId="0" applyFont="1" applyBorder="1" applyAlignment="1">
      <alignment horizontal="left" vertical="top" wrapText="1"/>
    </xf>
    <xf numFmtId="0" fontId="20" fillId="10" borderId="2" xfId="0" applyFont="1" applyFill="1" applyBorder="1" applyAlignment="1">
      <alignment horizontal="left" vertical="top" wrapText="1"/>
    </xf>
    <xf numFmtId="0" fontId="0" fillId="2" borderId="2" xfId="0" applyFill="1" applyBorder="1"/>
    <xf numFmtId="0" fontId="20" fillId="9" borderId="2" xfId="0" applyFont="1" applyFill="1" applyBorder="1" applyAlignment="1">
      <alignment horizontal="left" vertical="top" wrapText="1"/>
    </xf>
    <xf numFmtId="0" fontId="20" fillId="10" borderId="2" xfId="0" applyFont="1" applyFill="1" applyBorder="1"/>
    <xf numFmtId="0" fontId="20" fillId="0" borderId="2" xfId="0" applyFont="1" applyBorder="1" applyAlignment="1">
      <alignment horizontal="left"/>
    </xf>
    <xf numFmtId="0" fontId="5" fillId="0" borderId="0" xfId="0" applyFont="1"/>
    <xf numFmtId="0" fontId="20" fillId="0" borderId="2" xfId="0" applyFont="1" applyBorder="1" applyAlignment="1">
      <alignment horizontal="left" vertical="top" wrapText="1"/>
    </xf>
    <xf numFmtId="0" fontId="21" fillId="0" borderId="2" xfId="0" applyFont="1" applyBorder="1" applyAlignment="1">
      <alignment horizontal="left" vertical="top" wrapText="1"/>
    </xf>
    <xf numFmtId="0" fontId="14" fillId="2" borderId="2" xfId="0" applyFont="1" applyFill="1" applyBorder="1" applyAlignment="1">
      <alignment horizontal="center" vertical="center" wrapText="1"/>
    </xf>
    <xf numFmtId="0" fontId="22" fillId="0" borderId="0" xfId="0"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BFBFBF"/>
      <rgbColor rgb="FF71717A"/>
      <rgbColor rgb="FF9999FF"/>
      <rgbColor rgb="FFDC2626"/>
      <rgbColor rgb="FFF2F2F2"/>
      <rgbColor rgb="FFEDE9FE"/>
      <rgbColor rgb="FF660066"/>
      <rgbColor rgb="FFFF8080"/>
      <rgbColor rgb="FF0066CC"/>
      <rgbColor rgb="FFC7D2FE"/>
      <rgbColor rgb="FF000080"/>
      <rgbColor rgb="FFFF00FF"/>
      <rgbColor rgb="FFFFFF00"/>
      <rgbColor rgb="FF00FFFF"/>
      <rgbColor rgb="FF800080"/>
      <rgbColor rgb="FF800000"/>
      <rgbColor rgb="FF008080"/>
      <rgbColor rgb="FF0000FF"/>
      <rgbColor rgb="FF00CCFF"/>
      <rgbColor rgb="FFD9D9D9"/>
      <rgbColor rgb="FFA7F3D0"/>
      <rgbColor rgb="FFFBCFE8"/>
      <rgbColor rgb="FFBFDBFE"/>
      <rgbColor rgb="FFFCA5A5"/>
      <rgbColor rgb="FFCC99FF"/>
      <rgbColor rgb="FFFED7AA"/>
      <rgbColor rgb="FF3366FF"/>
      <rgbColor rgb="FF33CCCC"/>
      <rgbColor rgb="FF99CC00"/>
      <rgbColor rgb="FFFFCC00"/>
      <rgbColor rgb="FFFF9900"/>
      <rgbColor rgb="FFFF6600"/>
      <rgbColor rgb="FF666699"/>
      <rgbColor rgb="FF969696"/>
      <rgbColor rgb="FF003366"/>
      <rgbColor rgb="FF16A34A"/>
      <rgbColor rgb="FF14142B"/>
      <rgbColor rgb="FF333300"/>
      <rgbColor rgb="FFB45309"/>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election sqref="A1:D1"/>
    </sheetView>
  </sheetViews>
  <sheetFormatPr defaultColWidth="14.44140625" defaultRowHeight="14.4" x14ac:dyDescent="0.3"/>
  <cols>
    <col min="1" max="1" width="6" customWidth="1"/>
    <col min="2" max="2" width="14" customWidth="1"/>
    <col min="3" max="3" width="28" customWidth="1"/>
    <col min="4" max="4" width="50" customWidth="1"/>
    <col min="5" max="6" width="8.6640625" customWidth="1"/>
  </cols>
  <sheetData>
    <row r="1" spans="1:26" ht="17.25" customHeight="1" x14ac:dyDescent="0.3">
      <c r="A1" s="14" t="s">
        <v>0</v>
      </c>
      <c r="B1" s="14"/>
      <c r="C1" s="14"/>
      <c r="D1" s="14"/>
      <c r="E1" s="15"/>
      <c r="F1" s="15"/>
      <c r="G1" s="15"/>
      <c r="H1" s="15"/>
      <c r="I1" s="15"/>
      <c r="J1" s="15"/>
      <c r="K1" s="15"/>
      <c r="L1" s="15"/>
      <c r="M1" s="15"/>
      <c r="N1" s="15"/>
      <c r="O1" s="15"/>
      <c r="P1" s="15"/>
      <c r="Q1" s="15"/>
      <c r="R1" s="15"/>
      <c r="S1" s="15"/>
      <c r="T1" s="15"/>
      <c r="U1" s="15"/>
      <c r="V1" s="15"/>
      <c r="W1" s="15"/>
      <c r="X1" s="15"/>
      <c r="Y1" s="15"/>
      <c r="Z1" s="15"/>
    </row>
    <row r="2" spans="1:26" x14ac:dyDescent="0.3">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5" customHeight="1" x14ac:dyDescent="0.3">
      <c r="A3" s="16" t="s">
        <v>1</v>
      </c>
      <c r="B3" s="16" t="s">
        <v>2</v>
      </c>
      <c r="C3" s="16" t="s">
        <v>3</v>
      </c>
      <c r="D3" s="16" t="s">
        <v>4</v>
      </c>
      <c r="E3" s="15"/>
      <c r="F3" s="15"/>
      <c r="G3" s="15"/>
      <c r="H3" s="15"/>
      <c r="I3" s="15"/>
      <c r="J3" s="15"/>
      <c r="K3" s="15"/>
      <c r="L3" s="15"/>
      <c r="M3" s="15"/>
      <c r="N3" s="15"/>
      <c r="O3" s="15"/>
      <c r="P3" s="15"/>
      <c r="Q3" s="15"/>
      <c r="R3" s="15"/>
      <c r="S3" s="15"/>
      <c r="T3" s="15"/>
      <c r="U3" s="15"/>
      <c r="V3" s="15"/>
      <c r="W3" s="15"/>
      <c r="X3" s="15"/>
      <c r="Y3" s="15"/>
      <c r="Z3" s="15"/>
    </row>
    <row r="4" spans="1:26" ht="15" customHeight="1" x14ac:dyDescent="0.3">
      <c r="A4" s="17">
        <v>1</v>
      </c>
      <c r="B4" s="17" t="s">
        <v>5</v>
      </c>
      <c r="C4" s="17" t="s">
        <v>6</v>
      </c>
      <c r="D4" s="17" t="s">
        <v>7</v>
      </c>
      <c r="E4" s="15"/>
      <c r="F4" s="15"/>
      <c r="G4" s="15"/>
      <c r="H4" s="15"/>
      <c r="I4" s="15"/>
      <c r="J4" s="15"/>
      <c r="K4" s="15"/>
      <c r="L4" s="15"/>
      <c r="M4" s="15"/>
      <c r="N4" s="15"/>
      <c r="O4" s="15"/>
      <c r="P4" s="15"/>
      <c r="Q4" s="15"/>
      <c r="R4" s="15"/>
      <c r="S4" s="15"/>
      <c r="T4" s="15"/>
      <c r="U4" s="15"/>
      <c r="V4" s="15"/>
      <c r="W4" s="15"/>
      <c r="X4" s="15"/>
      <c r="Y4" s="15"/>
      <c r="Z4" s="15"/>
    </row>
    <row r="5" spans="1:26" ht="15" customHeight="1" x14ac:dyDescent="0.3">
      <c r="A5" s="18">
        <v>2</v>
      </c>
      <c r="B5" s="18" t="s">
        <v>8</v>
      </c>
      <c r="C5" s="18" t="s">
        <v>9</v>
      </c>
      <c r="D5" s="18" t="s">
        <v>10</v>
      </c>
      <c r="E5" s="15"/>
      <c r="F5" s="15"/>
      <c r="G5" s="15"/>
      <c r="H5" s="15"/>
      <c r="I5" s="15"/>
      <c r="J5" s="15"/>
      <c r="K5" s="15"/>
      <c r="L5" s="15"/>
      <c r="M5" s="15"/>
      <c r="N5" s="15"/>
      <c r="O5" s="15"/>
      <c r="P5" s="15"/>
      <c r="Q5" s="15"/>
      <c r="R5" s="15"/>
      <c r="S5" s="15"/>
      <c r="T5" s="15"/>
      <c r="U5" s="15"/>
      <c r="V5" s="15"/>
      <c r="W5" s="15"/>
      <c r="X5" s="15"/>
      <c r="Y5" s="15"/>
      <c r="Z5" s="15"/>
    </row>
    <row r="6" spans="1:26" ht="15" customHeight="1" x14ac:dyDescent="0.3">
      <c r="A6" s="17">
        <v>3</v>
      </c>
      <c r="B6" s="17" t="s">
        <v>11</v>
      </c>
      <c r="C6" s="17" t="s">
        <v>12</v>
      </c>
      <c r="D6" s="17" t="s">
        <v>13</v>
      </c>
      <c r="E6" s="15"/>
      <c r="F6" s="15"/>
      <c r="G6" s="15"/>
      <c r="H6" s="15"/>
      <c r="I6" s="15"/>
      <c r="J6" s="15"/>
      <c r="K6" s="15"/>
      <c r="L6" s="15"/>
      <c r="M6" s="15"/>
      <c r="N6" s="15"/>
      <c r="O6" s="15"/>
      <c r="P6" s="15"/>
      <c r="Q6" s="15"/>
      <c r="R6" s="15"/>
      <c r="S6" s="15"/>
      <c r="T6" s="15"/>
      <c r="U6" s="15"/>
      <c r="V6" s="15"/>
      <c r="W6" s="15"/>
      <c r="X6" s="15"/>
      <c r="Y6" s="15"/>
      <c r="Z6" s="15"/>
    </row>
    <row r="7" spans="1:26" ht="15" customHeight="1" x14ac:dyDescent="0.3">
      <c r="A7" s="18">
        <v>4</v>
      </c>
      <c r="B7" s="18" t="s">
        <v>14</v>
      </c>
      <c r="C7" s="18" t="s">
        <v>15</v>
      </c>
      <c r="D7" s="18" t="s">
        <v>16</v>
      </c>
      <c r="E7" s="15"/>
      <c r="F7" s="15"/>
      <c r="G7" s="15"/>
      <c r="H7" s="15"/>
      <c r="I7" s="15"/>
      <c r="J7" s="15"/>
      <c r="K7" s="15"/>
      <c r="L7" s="15"/>
      <c r="M7" s="15"/>
      <c r="N7" s="15"/>
      <c r="O7" s="15"/>
      <c r="P7" s="15"/>
      <c r="Q7" s="15"/>
      <c r="R7" s="15"/>
      <c r="S7" s="15"/>
      <c r="T7" s="15"/>
      <c r="U7" s="15"/>
      <c r="V7" s="15"/>
      <c r="W7" s="15"/>
      <c r="X7" s="15"/>
      <c r="Y7" s="15"/>
      <c r="Z7" s="15"/>
    </row>
    <row r="8" spans="1:26" ht="15" customHeight="1" x14ac:dyDescent="0.3">
      <c r="A8" s="17">
        <v>5</v>
      </c>
      <c r="B8" s="17" t="s">
        <v>17</v>
      </c>
      <c r="C8" s="17" t="s">
        <v>18</v>
      </c>
      <c r="D8" s="17" t="s">
        <v>19</v>
      </c>
      <c r="E8" s="15"/>
      <c r="F8" s="15"/>
      <c r="G8" s="15"/>
      <c r="H8" s="15"/>
      <c r="I8" s="15"/>
      <c r="J8" s="15"/>
      <c r="K8" s="15"/>
      <c r="L8" s="15"/>
      <c r="M8" s="15"/>
      <c r="N8" s="15"/>
      <c r="O8" s="15"/>
      <c r="P8" s="15"/>
      <c r="Q8" s="15"/>
      <c r="R8" s="15"/>
      <c r="S8" s="15"/>
      <c r="T8" s="15"/>
      <c r="U8" s="15"/>
      <c r="V8" s="15"/>
      <c r="W8" s="15"/>
      <c r="X8" s="15"/>
      <c r="Y8" s="15"/>
      <c r="Z8" s="15"/>
    </row>
    <row r="9" spans="1:26" x14ac:dyDescent="0.3">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39.75" customHeight="1" x14ac:dyDescent="0.3">
      <c r="A11" s="13"/>
      <c r="B11" s="13"/>
      <c r="C11" s="13"/>
      <c r="D11" s="13"/>
      <c r="E11" s="15"/>
      <c r="F11" s="15"/>
      <c r="G11" s="15"/>
      <c r="H11" s="15"/>
      <c r="I11" s="15"/>
      <c r="J11" s="15"/>
      <c r="K11" s="15"/>
      <c r="L11" s="15"/>
      <c r="M11" s="15"/>
      <c r="N11" s="15"/>
      <c r="O11" s="15"/>
      <c r="P11" s="15"/>
      <c r="Q11" s="15"/>
      <c r="R11" s="15"/>
      <c r="S11" s="15"/>
      <c r="T11" s="15"/>
      <c r="U11" s="15"/>
      <c r="V11" s="15"/>
      <c r="W11" s="15"/>
      <c r="X11" s="15"/>
      <c r="Y11" s="15"/>
      <c r="Z11" s="15"/>
    </row>
    <row r="12" spans="1:26"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75" customHeight="1"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75" customHeight="1"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75" customHeight="1"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75" customHeight="1"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75" customHeight="1"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ustomHeight="1"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ustomHeight="1"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ustomHeight="1"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ustomHeight="1"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ustomHeight="1"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customHeight="1"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customHeight="1"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customHeight="1"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customHeight="1"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75" customHeight="1"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75" customHeight="1"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ustomHeight="1"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ustomHeight="1"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75" customHeight="1"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75" customHeight="1"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75" customHeight="1"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customHeight="1"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ustomHeight="1"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ustomHeight="1"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customHeight="1"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ustomHeight="1"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ustomHeight="1"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ustomHeight="1"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ustomHeight="1"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ustomHeight="1"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ustomHeight="1"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ustomHeight="1"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customHeight="1"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ustomHeight="1"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customHeight="1"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ustomHeight="1"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ustomHeight="1"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ustomHeight="1"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ustomHeight="1"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ustomHeight="1"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ustomHeight="1"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ustomHeight="1"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ustomHeight="1"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x14ac:dyDescent="0.3">
      <c r="A221" s="19"/>
      <c r="B221" s="19"/>
      <c r="C221" s="19"/>
      <c r="D221" s="19"/>
      <c r="E221" s="19"/>
      <c r="F221" s="19"/>
    </row>
    <row r="222" spans="1:26" ht="15.75" customHeight="1" x14ac:dyDescent="0.3">
      <c r="A222" s="19"/>
      <c r="B222" s="19"/>
      <c r="C222" s="19"/>
      <c r="D222" s="19"/>
      <c r="E222" s="19"/>
      <c r="F222" s="19"/>
    </row>
    <row r="223" spans="1:26" ht="15.75" customHeight="1" x14ac:dyDescent="0.3">
      <c r="A223" s="19"/>
      <c r="B223" s="19"/>
      <c r="C223" s="19"/>
      <c r="D223" s="19"/>
      <c r="E223" s="19"/>
      <c r="F223" s="19"/>
    </row>
    <row r="224" spans="1:26" ht="15.75" customHeight="1" x14ac:dyDescent="0.3">
      <c r="A224" s="19"/>
      <c r="B224" s="19"/>
      <c r="C224" s="19"/>
      <c r="D224" s="19"/>
      <c r="E224" s="19"/>
      <c r="F224" s="19"/>
    </row>
    <row r="225" spans="1:6" ht="15.75" customHeight="1" x14ac:dyDescent="0.3">
      <c r="A225" s="19"/>
      <c r="B225" s="19"/>
      <c r="C225" s="19"/>
      <c r="D225" s="19"/>
      <c r="E225" s="19"/>
      <c r="F225" s="19"/>
    </row>
    <row r="226" spans="1:6" ht="15.75" customHeight="1" x14ac:dyDescent="0.3">
      <c r="A226" s="19"/>
      <c r="B226" s="19"/>
      <c r="C226" s="19"/>
      <c r="D226" s="19"/>
      <c r="E226" s="19"/>
      <c r="F226" s="19"/>
    </row>
    <row r="227" spans="1:6" ht="15.75" customHeight="1" x14ac:dyDescent="0.3">
      <c r="A227" s="19"/>
      <c r="B227" s="19"/>
      <c r="C227" s="19"/>
      <c r="D227" s="19"/>
      <c r="E227" s="19"/>
      <c r="F227" s="19"/>
    </row>
    <row r="228" spans="1:6" ht="15.75" customHeight="1" x14ac:dyDescent="0.3">
      <c r="A228" s="19"/>
      <c r="B228" s="19"/>
      <c r="C228" s="19"/>
      <c r="D228" s="19"/>
      <c r="E228" s="19"/>
      <c r="F228" s="19"/>
    </row>
    <row r="229" spans="1:6" ht="15.75" customHeight="1" x14ac:dyDescent="0.3">
      <c r="A229" s="19"/>
      <c r="B229" s="19"/>
      <c r="C229" s="19"/>
      <c r="D229" s="19"/>
      <c r="E229" s="19"/>
      <c r="F229" s="19"/>
    </row>
    <row r="230" spans="1:6" ht="15.75" customHeight="1" x14ac:dyDescent="0.3">
      <c r="A230" s="19"/>
      <c r="B230" s="19"/>
      <c r="C230" s="19"/>
      <c r="D230" s="19"/>
      <c r="E230" s="19"/>
      <c r="F230" s="19"/>
    </row>
    <row r="231" spans="1:6" ht="15.75" customHeight="1" x14ac:dyDescent="0.3">
      <c r="A231" s="19"/>
      <c r="B231" s="19"/>
      <c r="C231" s="19"/>
      <c r="D231" s="19"/>
      <c r="E231" s="19"/>
      <c r="F231" s="19"/>
    </row>
    <row r="232" spans="1:6" ht="15.75" customHeight="1" x14ac:dyDescent="0.3">
      <c r="A232" s="19"/>
      <c r="B232" s="19"/>
      <c r="C232" s="19"/>
      <c r="D232" s="19"/>
      <c r="E232" s="19"/>
      <c r="F232" s="19"/>
    </row>
    <row r="233" spans="1:6" ht="15.75" customHeight="1" x14ac:dyDescent="0.3">
      <c r="A233" s="19"/>
      <c r="B233" s="19"/>
      <c r="C233" s="19"/>
      <c r="D233" s="19"/>
      <c r="E233" s="19"/>
      <c r="F233" s="19"/>
    </row>
    <row r="234" spans="1:6" ht="15.75" customHeight="1" x14ac:dyDescent="0.3">
      <c r="A234" s="19"/>
      <c r="B234" s="19"/>
      <c r="C234" s="19"/>
      <c r="D234" s="19"/>
      <c r="E234" s="19"/>
      <c r="F234" s="19"/>
    </row>
    <row r="235" spans="1:6" ht="15.75" customHeight="1" x14ac:dyDescent="0.3">
      <c r="A235" s="19"/>
      <c r="B235" s="19"/>
      <c r="C235" s="19"/>
      <c r="D235" s="19"/>
      <c r="E235" s="19"/>
      <c r="F235" s="19"/>
    </row>
    <row r="236" spans="1:6" ht="15.75" customHeight="1" x14ac:dyDescent="0.3">
      <c r="A236" s="19"/>
      <c r="B236" s="19"/>
      <c r="C236" s="19"/>
      <c r="D236" s="19"/>
      <c r="E236" s="19"/>
      <c r="F236" s="19"/>
    </row>
    <row r="237" spans="1:6" ht="15.75" customHeight="1" x14ac:dyDescent="0.3">
      <c r="A237" s="19"/>
      <c r="B237" s="19"/>
      <c r="C237" s="19"/>
      <c r="D237" s="19"/>
      <c r="E237" s="19"/>
      <c r="F237" s="19"/>
    </row>
    <row r="238" spans="1:6" ht="15.75" customHeight="1" x14ac:dyDescent="0.3">
      <c r="A238" s="19"/>
      <c r="B238" s="19"/>
      <c r="C238" s="19"/>
      <c r="D238" s="19"/>
      <c r="E238" s="19"/>
      <c r="F238" s="19"/>
    </row>
    <row r="239" spans="1:6" ht="15.75" customHeight="1" x14ac:dyDescent="0.3">
      <c r="A239" s="19"/>
      <c r="B239" s="19"/>
      <c r="C239" s="19"/>
      <c r="D239" s="19"/>
      <c r="E239" s="19"/>
      <c r="F239" s="19"/>
    </row>
    <row r="240" spans="1:6" ht="15.75" customHeight="1" x14ac:dyDescent="0.3">
      <c r="A240" s="19"/>
      <c r="B240" s="19"/>
      <c r="C240" s="19"/>
      <c r="D240" s="19"/>
      <c r="E240" s="19"/>
      <c r="F240" s="19"/>
    </row>
    <row r="241" spans="1:6" ht="15.75" customHeight="1" x14ac:dyDescent="0.3">
      <c r="A241" s="19"/>
      <c r="B241" s="19"/>
      <c r="C241" s="19"/>
      <c r="D241" s="19"/>
      <c r="E241" s="19"/>
      <c r="F241" s="19"/>
    </row>
    <row r="242" spans="1:6" ht="15.75" customHeight="1" x14ac:dyDescent="0.3">
      <c r="A242" s="19"/>
      <c r="B242" s="19"/>
      <c r="C242" s="19"/>
      <c r="D242" s="19"/>
      <c r="E242" s="19"/>
      <c r="F242" s="19"/>
    </row>
    <row r="243" spans="1:6" ht="15.75" customHeight="1" x14ac:dyDescent="0.3">
      <c r="A243" s="19"/>
      <c r="B243" s="19"/>
      <c r="C243" s="19"/>
      <c r="D243" s="19"/>
      <c r="E243" s="19"/>
      <c r="F243" s="19"/>
    </row>
    <row r="244" spans="1:6" ht="15.75" customHeight="1" x14ac:dyDescent="0.3">
      <c r="A244" s="19"/>
      <c r="B244" s="19"/>
      <c r="C244" s="19"/>
      <c r="D244" s="19"/>
      <c r="E244" s="19"/>
      <c r="F244" s="19"/>
    </row>
    <row r="245" spans="1:6" ht="15.75" customHeight="1" x14ac:dyDescent="0.3">
      <c r="A245" s="19"/>
      <c r="B245" s="19"/>
      <c r="C245" s="19"/>
      <c r="D245" s="19"/>
      <c r="E245" s="19"/>
      <c r="F245" s="19"/>
    </row>
    <row r="246" spans="1:6" ht="15.75" customHeight="1" x14ac:dyDescent="0.3">
      <c r="A246" s="19"/>
      <c r="B246" s="19"/>
      <c r="C246" s="19"/>
      <c r="D246" s="19"/>
      <c r="E246" s="19"/>
      <c r="F246" s="19"/>
    </row>
    <row r="247" spans="1:6" ht="15.75" customHeight="1" x14ac:dyDescent="0.3">
      <c r="A247" s="19"/>
      <c r="B247" s="19"/>
      <c r="C247" s="19"/>
      <c r="D247" s="19"/>
      <c r="E247" s="19"/>
      <c r="F247" s="19"/>
    </row>
    <row r="248" spans="1:6" ht="15.75" customHeight="1" x14ac:dyDescent="0.3">
      <c r="A248" s="19"/>
      <c r="B248" s="19"/>
      <c r="C248" s="19"/>
      <c r="D248" s="19"/>
      <c r="E248" s="19"/>
      <c r="F248" s="19"/>
    </row>
    <row r="249" spans="1:6" ht="15.75" customHeight="1" x14ac:dyDescent="0.3">
      <c r="A249" s="19"/>
      <c r="B249" s="19"/>
      <c r="C249" s="19"/>
      <c r="D249" s="19"/>
      <c r="E249" s="19"/>
      <c r="F249" s="19"/>
    </row>
    <row r="250" spans="1:6" ht="15.75" customHeight="1" x14ac:dyDescent="0.3">
      <c r="A250" s="19"/>
      <c r="B250" s="19"/>
      <c r="C250" s="19"/>
      <c r="D250" s="19"/>
      <c r="E250" s="19"/>
      <c r="F250" s="19"/>
    </row>
    <row r="251" spans="1:6" ht="15.75" customHeight="1" x14ac:dyDescent="0.3">
      <c r="A251" s="19"/>
      <c r="B251" s="19"/>
      <c r="C251" s="19"/>
      <c r="D251" s="19"/>
      <c r="E251" s="19"/>
      <c r="F251" s="19"/>
    </row>
    <row r="252" spans="1:6" ht="15.75" customHeight="1" x14ac:dyDescent="0.3">
      <c r="A252" s="19"/>
      <c r="B252" s="19"/>
      <c r="C252" s="19"/>
      <c r="D252" s="19"/>
      <c r="E252" s="19"/>
      <c r="F252" s="19"/>
    </row>
    <row r="253" spans="1:6" ht="15.75" customHeight="1" x14ac:dyDescent="0.3">
      <c r="A253" s="19"/>
      <c r="B253" s="19"/>
      <c r="C253" s="19"/>
      <c r="D253" s="19"/>
      <c r="E253" s="19"/>
      <c r="F253" s="19"/>
    </row>
    <row r="254" spans="1:6" ht="15.75" customHeight="1" x14ac:dyDescent="0.3">
      <c r="A254" s="19"/>
      <c r="B254" s="19"/>
      <c r="C254" s="19"/>
      <c r="D254" s="19"/>
      <c r="E254" s="19"/>
      <c r="F254" s="19"/>
    </row>
    <row r="255" spans="1:6" ht="15.75" customHeight="1" x14ac:dyDescent="0.3">
      <c r="A255" s="19"/>
      <c r="B255" s="19"/>
      <c r="C255" s="19"/>
      <c r="D255" s="19"/>
      <c r="E255" s="19"/>
      <c r="F255" s="19"/>
    </row>
    <row r="256" spans="1:6" ht="15.75" customHeight="1" x14ac:dyDescent="0.3">
      <c r="A256" s="19"/>
      <c r="B256" s="19"/>
      <c r="C256" s="19"/>
      <c r="D256" s="19"/>
      <c r="E256" s="19"/>
      <c r="F256" s="19"/>
    </row>
    <row r="257" spans="1:6" ht="15.75" customHeight="1" x14ac:dyDescent="0.3">
      <c r="A257" s="19"/>
      <c r="B257" s="19"/>
      <c r="C257" s="19"/>
      <c r="D257" s="19"/>
      <c r="E257" s="19"/>
      <c r="F257" s="19"/>
    </row>
    <row r="258" spans="1:6" ht="15.75" customHeight="1" x14ac:dyDescent="0.3">
      <c r="A258" s="19"/>
      <c r="B258" s="19"/>
      <c r="C258" s="19"/>
      <c r="D258" s="19"/>
      <c r="E258" s="19"/>
      <c r="F258" s="19"/>
    </row>
    <row r="259" spans="1:6" ht="15.75" customHeight="1" x14ac:dyDescent="0.3">
      <c r="A259" s="19"/>
      <c r="B259" s="19"/>
      <c r="C259" s="19"/>
      <c r="D259" s="19"/>
      <c r="E259" s="19"/>
      <c r="F259" s="19"/>
    </row>
    <row r="260" spans="1:6" ht="15.75" customHeight="1" x14ac:dyDescent="0.3">
      <c r="A260" s="19"/>
      <c r="B260" s="19"/>
      <c r="C260" s="19"/>
      <c r="D260" s="19"/>
      <c r="E260" s="19"/>
      <c r="F260" s="19"/>
    </row>
    <row r="261" spans="1:6" ht="15.75" customHeight="1" x14ac:dyDescent="0.3">
      <c r="A261" s="19"/>
      <c r="B261" s="19"/>
      <c r="C261" s="19"/>
      <c r="D261" s="19"/>
      <c r="E261" s="19"/>
      <c r="F261" s="19"/>
    </row>
    <row r="262" spans="1:6" ht="15.75" customHeight="1" x14ac:dyDescent="0.3">
      <c r="A262" s="19"/>
      <c r="B262" s="19"/>
      <c r="C262" s="19"/>
      <c r="D262" s="19"/>
      <c r="E262" s="19"/>
      <c r="F262" s="19"/>
    </row>
    <row r="263" spans="1:6" ht="15.75" customHeight="1" x14ac:dyDescent="0.3">
      <c r="A263" s="19"/>
      <c r="B263" s="19"/>
      <c r="C263" s="19"/>
      <c r="D263" s="19"/>
      <c r="E263" s="19"/>
      <c r="F263" s="19"/>
    </row>
    <row r="264" spans="1:6" ht="15.75" customHeight="1" x14ac:dyDescent="0.3">
      <c r="A264" s="19"/>
      <c r="B264" s="19"/>
      <c r="C264" s="19"/>
      <c r="D264" s="19"/>
      <c r="E264" s="19"/>
      <c r="F264" s="19"/>
    </row>
    <row r="265" spans="1:6" ht="15.75" customHeight="1" x14ac:dyDescent="0.3">
      <c r="A265" s="19"/>
      <c r="B265" s="19"/>
      <c r="C265" s="19"/>
      <c r="D265" s="19"/>
      <c r="E265" s="19"/>
      <c r="F265" s="19"/>
    </row>
    <row r="266" spans="1:6" ht="15.75" customHeight="1" x14ac:dyDescent="0.3">
      <c r="A266" s="19"/>
      <c r="B266" s="19"/>
      <c r="C266" s="19"/>
      <c r="D266" s="19"/>
      <c r="E266" s="19"/>
      <c r="F266" s="19"/>
    </row>
    <row r="267" spans="1:6" ht="15.75" customHeight="1" x14ac:dyDescent="0.3">
      <c r="A267" s="19"/>
      <c r="B267" s="19"/>
      <c r="C267" s="19"/>
      <c r="D267" s="19"/>
      <c r="E267" s="19"/>
      <c r="F267" s="19"/>
    </row>
    <row r="268" spans="1:6" ht="15.75" customHeight="1" x14ac:dyDescent="0.3">
      <c r="A268" s="19"/>
      <c r="B268" s="19"/>
      <c r="C268" s="19"/>
      <c r="D268" s="19"/>
      <c r="E268" s="19"/>
      <c r="F268" s="19"/>
    </row>
    <row r="269" spans="1:6" ht="15.75" customHeight="1" x14ac:dyDescent="0.3">
      <c r="A269" s="19"/>
      <c r="B269" s="19"/>
      <c r="C269" s="19"/>
      <c r="D269" s="19"/>
      <c r="E269" s="19"/>
      <c r="F269" s="19"/>
    </row>
    <row r="270" spans="1:6" ht="15.75" customHeight="1" x14ac:dyDescent="0.3">
      <c r="A270" s="19"/>
      <c r="B270" s="19"/>
      <c r="C270" s="19"/>
      <c r="D270" s="19"/>
      <c r="E270" s="19"/>
      <c r="F270" s="19"/>
    </row>
    <row r="271" spans="1:6" ht="15.75" customHeight="1" x14ac:dyDescent="0.3">
      <c r="A271" s="19"/>
      <c r="B271" s="19"/>
      <c r="C271" s="19"/>
      <c r="D271" s="19"/>
      <c r="E271" s="19"/>
      <c r="F271" s="19"/>
    </row>
    <row r="272" spans="1:6" ht="15.75" customHeight="1" x14ac:dyDescent="0.3">
      <c r="A272" s="19"/>
      <c r="B272" s="19"/>
      <c r="C272" s="19"/>
      <c r="D272" s="19"/>
      <c r="E272" s="19"/>
      <c r="F272" s="19"/>
    </row>
    <row r="273" spans="1:6" ht="15.75" customHeight="1" x14ac:dyDescent="0.3">
      <c r="A273" s="19"/>
      <c r="B273" s="19"/>
      <c r="C273" s="19"/>
      <c r="D273" s="19"/>
      <c r="E273" s="19"/>
      <c r="F273" s="19"/>
    </row>
    <row r="274" spans="1:6" ht="15.75" customHeight="1" x14ac:dyDescent="0.3">
      <c r="A274" s="19"/>
      <c r="B274" s="19"/>
      <c r="C274" s="19"/>
      <c r="D274" s="19"/>
      <c r="E274" s="19"/>
      <c r="F274" s="19"/>
    </row>
    <row r="275" spans="1:6" ht="15.75" customHeight="1" x14ac:dyDescent="0.3">
      <c r="A275" s="19"/>
      <c r="B275" s="19"/>
      <c r="C275" s="19"/>
      <c r="D275" s="19"/>
      <c r="E275" s="19"/>
      <c r="F275" s="19"/>
    </row>
    <row r="276" spans="1:6" ht="15.75" customHeight="1" x14ac:dyDescent="0.3">
      <c r="A276" s="19"/>
      <c r="B276" s="19"/>
      <c r="C276" s="19"/>
      <c r="D276" s="19"/>
      <c r="E276" s="19"/>
      <c r="F276" s="19"/>
    </row>
    <row r="277" spans="1:6" ht="15.75" customHeight="1" x14ac:dyDescent="0.3">
      <c r="A277" s="19"/>
      <c r="B277" s="19"/>
      <c r="C277" s="19"/>
      <c r="D277" s="19"/>
      <c r="E277" s="19"/>
      <c r="F277" s="19"/>
    </row>
    <row r="278" spans="1:6" ht="15.75" customHeight="1" x14ac:dyDescent="0.3">
      <c r="A278" s="19"/>
      <c r="B278" s="19"/>
      <c r="C278" s="19"/>
      <c r="D278" s="19"/>
      <c r="E278" s="19"/>
      <c r="F278" s="19"/>
    </row>
    <row r="279" spans="1:6" ht="15.75" customHeight="1" x14ac:dyDescent="0.3">
      <c r="A279" s="19"/>
      <c r="B279" s="19"/>
      <c r="C279" s="19"/>
      <c r="D279" s="19"/>
      <c r="E279" s="19"/>
      <c r="F279" s="19"/>
    </row>
    <row r="280" spans="1:6" ht="15.75" customHeight="1" x14ac:dyDescent="0.3">
      <c r="A280" s="19"/>
      <c r="B280" s="19"/>
      <c r="C280" s="19"/>
      <c r="D280" s="19"/>
      <c r="E280" s="19"/>
      <c r="F280" s="19"/>
    </row>
    <row r="281" spans="1:6" ht="15.75" customHeight="1" x14ac:dyDescent="0.3">
      <c r="A281" s="19"/>
      <c r="B281" s="19"/>
      <c r="C281" s="19"/>
      <c r="D281" s="19"/>
      <c r="E281" s="19"/>
      <c r="F281" s="19"/>
    </row>
    <row r="282" spans="1:6" ht="15.75" customHeight="1" x14ac:dyDescent="0.3">
      <c r="A282" s="19"/>
      <c r="B282" s="19"/>
      <c r="C282" s="19"/>
      <c r="D282" s="19"/>
      <c r="E282" s="19"/>
      <c r="F282" s="19"/>
    </row>
    <row r="283" spans="1:6" ht="15.75" customHeight="1" x14ac:dyDescent="0.3">
      <c r="A283" s="19"/>
      <c r="B283" s="19"/>
      <c r="C283" s="19"/>
      <c r="D283" s="19"/>
      <c r="E283" s="19"/>
      <c r="F283" s="19"/>
    </row>
    <row r="284" spans="1:6" ht="15.75" customHeight="1" x14ac:dyDescent="0.3">
      <c r="A284" s="19"/>
      <c r="B284" s="19"/>
      <c r="C284" s="19"/>
      <c r="D284" s="19"/>
      <c r="E284" s="19"/>
      <c r="F284" s="19"/>
    </row>
    <row r="285" spans="1:6" ht="15.75" customHeight="1" x14ac:dyDescent="0.3">
      <c r="A285" s="19"/>
      <c r="B285" s="19"/>
      <c r="C285" s="19"/>
      <c r="D285" s="19"/>
      <c r="E285" s="19"/>
      <c r="F285" s="19"/>
    </row>
    <row r="286" spans="1:6" ht="15.75" customHeight="1" x14ac:dyDescent="0.3">
      <c r="A286" s="19"/>
      <c r="B286" s="19"/>
      <c r="C286" s="19"/>
      <c r="D286" s="19"/>
      <c r="E286" s="19"/>
      <c r="F286" s="19"/>
    </row>
    <row r="287" spans="1:6" ht="15.75" customHeight="1" x14ac:dyDescent="0.3">
      <c r="A287" s="19"/>
      <c r="B287" s="19"/>
      <c r="C287" s="19"/>
      <c r="D287" s="19"/>
      <c r="E287" s="19"/>
      <c r="F287" s="19"/>
    </row>
    <row r="288" spans="1:6" ht="15.75" customHeight="1" x14ac:dyDescent="0.3">
      <c r="A288" s="19"/>
      <c r="B288" s="19"/>
      <c r="C288" s="19"/>
      <c r="D288" s="19"/>
      <c r="E288" s="19"/>
      <c r="F288" s="19"/>
    </row>
    <row r="289" spans="1:6" ht="15.75" customHeight="1" x14ac:dyDescent="0.3">
      <c r="A289" s="19"/>
      <c r="B289" s="19"/>
      <c r="C289" s="19"/>
      <c r="D289" s="19"/>
      <c r="E289" s="19"/>
      <c r="F289" s="19"/>
    </row>
    <row r="290" spans="1:6" ht="15.75" customHeight="1" x14ac:dyDescent="0.3">
      <c r="A290" s="19"/>
      <c r="B290" s="19"/>
      <c r="C290" s="19"/>
      <c r="D290" s="19"/>
      <c r="E290" s="19"/>
      <c r="F290" s="19"/>
    </row>
    <row r="291" spans="1:6" ht="15.75" customHeight="1" x14ac:dyDescent="0.3">
      <c r="A291" s="19"/>
      <c r="B291" s="19"/>
      <c r="C291" s="19"/>
      <c r="D291" s="19"/>
      <c r="E291" s="19"/>
      <c r="F291" s="19"/>
    </row>
    <row r="292" spans="1:6" ht="15.75" customHeight="1" x14ac:dyDescent="0.3">
      <c r="A292" s="19"/>
      <c r="B292" s="19"/>
      <c r="C292" s="19"/>
      <c r="D292" s="19"/>
      <c r="E292" s="19"/>
      <c r="F292" s="19"/>
    </row>
    <row r="293" spans="1:6" ht="15.75" customHeight="1" x14ac:dyDescent="0.3">
      <c r="A293" s="19"/>
      <c r="B293" s="19"/>
      <c r="C293" s="19"/>
      <c r="D293" s="19"/>
      <c r="E293" s="19"/>
      <c r="F293" s="19"/>
    </row>
    <row r="294" spans="1:6" ht="15.75" customHeight="1" x14ac:dyDescent="0.3">
      <c r="A294" s="19"/>
      <c r="B294" s="19"/>
      <c r="C294" s="19"/>
      <c r="D294" s="19"/>
      <c r="E294" s="19"/>
      <c r="F294" s="19"/>
    </row>
    <row r="295" spans="1:6" ht="15.75" customHeight="1" x14ac:dyDescent="0.3">
      <c r="A295" s="19"/>
      <c r="B295" s="19"/>
      <c r="C295" s="19"/>
      <c r="D295" s="19"/>
      <c r="E295" s="19"/>
      <c r="F295" s="19"/>
    </row>
    <row r="296" spans="1:6" ht="15.75" customHeight="1" x14ac:dyDescent="0.3">
      <c r="A296" s="19"/>
      <c r="B296" s="19"/>
      <c r="C296" s="19"/>
      <c r="D296" s="19"/>
      <c r="E296" s="19"/>
      <c r="F296" s="19"/>
    </row>
    <row r="297" spans="1:6" ht="15.75" customHeight="1" x14ac:dyDescent="0.3">
      <c r="A297" s="19"/>
      <c r="B297" s="19"/>
      <c r="C297" s="19"/>
      <c r="D297" s="19"/>
      <c r="E297" s="19"/>
      <c r="F297" s="19"/>
    </row>
    <row r="298" spans="1:6" ht="15.75" customHeight="1" x14ac:dyDescent="0.3">
      <c r="A298" s="19"/>
      <c r="B298" s="19"/>
      <c r="C298" s="19"/>
      <c r="D298" s="19"/>
      <c r="E298" s="19"/>
      <c r="F298" s="19"/>
    </row>
    <row r="299" spans="1:6" ht="15.75" customHeight="1" x14ac:dyDescent="0.3">
      <c r="A299" s="19"/>
      <c r="B299" s="19"/>
      <c r="C299" s="19"/>
      <c r="D299" s="19"/>
      <c r="E299" s="19"/>
      <c r="F299" s="19"/>
    </row>
    <row r="300" spans="1:6" ht="15.75" customHeight="1" x14ac:dyDescent="0.3">
      <c r="A300" s="19"/>
      <c r="B300" s="19"/>
      <c r="C300" s="19"/>
      <c r="D300" s="19"/>
      <c r="E300" s="19"/>
      <c r="F300" s="19"/>
    </row>
    <row r="301" spans="1:6" ht="15.75" customHeight="1" x14ac:dyDescent="0.3">
      <c r="A301" s="19"/>
      <c r="B301" s="19"/>
      <c r="C301" s="19"/>
      <c r="D301" s="19"/>
      <c r="E301" s="19"/>
      <c r="F301" s="19"/>
    </row>
    <row r="302" spans="1:6" ht="15.75" customHeight="1" x14ac:dyDescent="0.3">
      <c r="A302" s="19"/>
      <c r="B302" s="19"/>
      <c r="C302" s="19"/>
      <c r="D302" s="19"/>
      <c r="E302" s="19"/>
      <c r="F302" s="19"/>
    </row>
    <row r="303" spans="1:6" ht="15.75" customHeight="1" x14ac:dyDescent="0.3">
      <c r="A303" s="19"/>
      <c r="B303" s="19"/>
      <c r="C303" s="19"/>
      <c r="D303" s="19"/>
      <c r="E303" s="19"/>
      <c r="F303" s="19"/>
    </row>
    <row r="304" spans="1:6" ht="15.75" customHeight="1" x14ac:dyDescent="0.3">
      <c r="A304" s="19"/>
      <c r="B304" s="19"/>
      <c r="C304" s="19"/>
      <c r="D304" s="19"/>
      <c r="E304" s="19"/>
      <c r="F304" s="19"/>
    </row>
    <row r="305" spans="1:6" ht="15.75" customHeight="1" x14ac:dyDescent="0.3">
      <c r="A305" s="19"/>
      <c r="B305" s="19"/>
      <c r="C305" s="19"/>
      <c r="D305" s="19"/>
      <c r="E305" s="19"/>
      <c r="F305" s="19"/>
    </row>
    <row r="306" spans="1:6" ht="15.75" customHeight="1" x14ac:dyDescent="0.3">
      <c r="A306" s="19"/>
      <c r="B306" s="19"/>
      <c r="C306" s="19"/>
      <c r="D306" s="19"/>
      <c r="E306" s="19"/>
      <c r="F306" s="19"/>
    </row>
    <row r="307" spans="1:6" ht="15.75" customHeight="1" x14ac:dyDescent="0.3">
      <c r="A307" s="19"/>
      <c r="B307" s="19"/>
      <c r="C307" s="19"/>
      <c r="D307" s="19"/>
      <c r="E307" s="19"/>
      <c r="F307" s="19"/>
    </row>
    <row r="308" spans="1:6" ht="15.75" customHeight="1" x14ac:dyDescent="0.3">
      <c r="A308" s="19"/>
      <c r="B308" s="19"/>
      <c r="C308" s="19"/>
      <c r="D308" s="19"/>
      <c r="E308" s="19"/>
      <c r="F308" s="19"/>
    </row>
    <row r="309" spans="1:6" ht="15.75" customHeight="1" x14ac:dyDescent="0.3">
      <c r="A309" s="19"/>
      <c r="B309" s="19"/>
      <c r="C309" s="19"/>
      <c r="D309" s="19"/>
      <c r="E309" s="19"/>
      <c r="F309" s="19"/>
    </row>
    <row r="310" spans="1:6" ht="15.75" customHeight="1" x14ac:dyDescent="0.3">
      <c r="A310" s="19"/>
      <c r="B310" s="19"/>
      <c r="C310" s="19"/>
      <c r="D310" s="19"/>
      <c r="E310" s="19"/>
      <c r="F310" s="19"/>
    </row>
    <row r="311" spans="1:6" ht="15.75" customHeight="1" x14ac:dyDescent="0.3">
      <c r="A311" s="19"/>
      <c r="B311" s="19"/>
      <c r="C311" s="19"/>
      <c r="D311" s="19"/>
      <c r="E311" s="19"/>
      <c r="F311" s="19"/>
    </row>
    <row r="312" spans="1:6" ht="15.75" customHeight="1" x14ac:dyDescent="0.3">
      <c r="A312" s="19"/>
      <c r="B312" s="19"/>
      <c r="C312" s="19"/>
      <c r="D312" s="19"/>
      <c r="E312" s="19"/>
      <c r="F312" s="19"/>
    </row>
    <row r="313" spans="1:6" ht="15.75" customHeight="1" x14ac:dyDescent="0.3">
      <c r="A313" s="19"/>
      <c r="B313" s="19"/>
      <c r="C313" s="19"/>
      <c r="D313" s="19"/>
      <c r="E313" s="19"/>
      <c r="F313" s="19"/>
    </row>
    <row r="314" spans="1:6" ht="15.75" customHeight="1" x14ac:dyDescent="0.3">
      <c r="A314" s="19"/>
      <c r="B314" s="19"/>
      <c r="C314" s="19"/>
      <c r="D314" s="19"/>
      <c r="E314" s="19"/>
      <c r="F314" s="19"/>
    </row>
    <row r="315" spans="1:6" ht="15.75" customHeight="1" x14ac:dyDescent="0.3">
      <c r="A315" s="19"/>
      <c r="B315" s="19"/>
      <c r="C315" s="19"/>
      <c r="D315" s="19"/>
      <c r="E315" s="19"/>
      <c r="F315" s="19"/>
    </row>
    <row r="316" spans="1:6" ht="15.75" customHeight="1" x14ac:dyDescent="0.3">
      <c r="A316" s="19"/>
      <c r="B316" s="19"/>
      <c r="C316" s="19"/>
      <c r="D316" s="19"/>
      <c r="E316" s="19"/>
      <c r="F316" s="19"/>
    </row>
    <row r="317" spans="1:6" ht="15.75" customHeight="1" x14ac:dyDescent="0.3">
      <c r="A317" s="19"/>
      <c r="B317" s="19"/>
      <c r="C317" s="19"/>
      <c r="D317" s="19"/>
      <c r="E317" s="19"/>
      <c r="F317" s="19"/>
    </row>
    <row r="318" spans="1:6" ht="15.75" customHeight="1" x14ac:dyDescent="0.3">
      <c r="A318" s="19"/>
      <c r="B318" s="19"/>
      <c r="C318" s="19"/>
      <c r="D318" s="19"/>
      <c r="E318" s="19"/>
      <c r="F318" s="19"/>
    </row>
    <row r="319" spans="1:6" ht="15.75" customHeight="1" x14ac:dyDescent="0.3">
      <c r="A319" s="19"/>
      <c r="B319" s="19"/>
      <c r="C319" s="19"/>
      <c r="D319" s="19"/>
      <c r="E319" s="19"/>
      <c r="F319" s="19"/>
    </row>
    <row r="320" spans="1:6" ht="15.75" customHeight="1" x14ac:dyDescent="0.3">
      <c r="A320" s="19"/>
      <c r="B320" s="19"/>
      <c r="C320" s="19"/>
      <c r="D320" s="19"/>
      <c r="E320" s="19"/>
      <c r="F320" s="19"/>
    </row>
    <row r="321" spans="1:6" ht="15.75" customHeight="1" x14ac:dyDescent="0.3">
      <c r="A321" s="19"/>
      <c r="B321" s="19"/>
      <c r="C321" s="19"/>
      <c r="D321" s="19"/>
      <c r="E321" s="19"/>
      <c r="F321" s="19"/>
    </row>
    <row r="322" spans="1:6" ht="15.75" customHeight="1" x14ac:dyDescent="0.3">
      <c r="A322" s="19"/>
      <c r="B322" s="19"/>
      <c r="C322" s="19"/>
      <c r="D322" s="19"/>
      <c r="E322" s="19"/>
      <c r="F322" s="19"/>
    </row>
    <row r="323" spans="1:6" ht="15.75" customHeight="1" x14ac:dyDescent="0.3">
      <c r="A323" s="19"/>
      <c r="B323" s="19"/>
      <c r="C323" s="19"/>
      <c r="D323" s="19"/>
      <c r="E323" s="19"/>
      <c r="F323" s="19"/>
    </row>
    <row r="324" spans="1:6" ht="15.75" customHeight="1" x14ac:dyDescent="0.3">
      <c r="A324" s="19"/>
      <c r="B324" s="19"/>
      <c r="C324" s="19"/>
      <c r="D324" s="19"/>
      <c r="E324" s="19"/>
      <c r="F324" s="19"/>
    </row>
    <row r="325" spans="1:6" ht="15.75" customHeight="1" x14ac:dyDescent="0.3">
      <c r="A325" s="19"/>
      <c r="B325" s="19"/>
      <c r="C325" s="19"/>
      <c r="D325" s="19"/>
      <c r="E325" s="19"/>
      <c r="F325" s="19"/>
    </row>
    <row r="326" spans="1:6" ht="15.75" customHeight="1" x14ac:dyDescent="0.3">
      <c r="A326" s="19"/>
      <c r="B326" s="19"/>
      <c r="C326" s="19"/>
      <c r="D326" s="19"/>
      <c r="E326" s="19"/>
      <c r="F326" s="19"/>
    </row>
    <row r="327" spans="1:6" ht="15.75" customHeight="1" x14ac:dyDescent="0.3">
      <c r="A327" s="19"/>
      <c r="B327" s="19"/>
      <c r="C327" s="19"/>
      <c r="D327" s="19"/>
      <c r="E327" s="19"/>
      <c r="F327" s="19"/>
    </row>
    <row r="328" spans="1:6" ht="15.75" customHeight="1" x14ac:dyDescent="0.3">
      <c r="A328" s="19"/>
      <c r="B328" s="19"/>
      <c r="C328" s="19"/>
      <c r="D328" s="19"/>
      <c r="E328" s="19"/>
      <c r="F328" s="19"/>
    </row>
    <row r="329" spans="1:6" ht="15.75" customHeight="1" x14ac:dyDescent="0.3">
      <c r="A329" s="19"/>
      <c r="B329" s="19"/>
      <c r="C329" s="19"/>
      <c r="D329" s="19"/>
      <c r="E329" s="19"/>
      <c r="F329" s="19"/>
    </row>
    <row r="330" spans="1:6" ht="15.75" customHeight="1" x14ac:dyDescent="0.3">
      <c r="A330" s="19"/>
      <c r="B330" s="19"/>
      <c r="C330" s="19"/>
      <c r="D330" s="19"/>
      <c r="E330" s="19"/>
      <c r="F330" s="19"/>
    </row>
    <row r="331" spans="1:6" ht="15.75" customHeight="1" x14ac:dyDescent="0.3">
      <c r="A331" s="19"/>
      <c r="B331" s="19"/>
      <c r="C331" s="19"/>
      <c r="D331" s="19"/>
      <c r="E331" s="19"/>
      <c r="F331" s="19"/>
    </row>
    <row r="332" spans="1:6" ht="15.75" customHeight="1" x14ac:dyDescent="0.3">
      <c r="A332" s="19"/>
      <c r="B332" s="19"/>
      <c r="C332" s="19"/>
      <c r="D332" s="19"/>
      <c r="E332" s="19"/>
      <c r="F332" s="19"/>
    </row>
    <row r="333" spans="1:6" ht="15.75" customHeight="1" x14ac:dyDescent="0.3">
      <c r="A333" s="19"/>
      <c r="B333" s="19"/>
      <c r="C333" s="19"/>
      <c r="D333" s="19"/>
      <c r="E333" s="19"/>
      <c r="F333" s="19"/>
    </row>
    <row r="334" spans="1:6" ht="15.75" customHeight="1" x14ac:dyDescent="0.3">
      <c r="A334" s="19"/>
      <c r="B334" s="19"/>
      <c r="C334" s="19"/>
      <c r="D334" s="19"/>
      <c r="E334" s="19"/>
      <c r="F334" s="19"/>
    </row>
    <row r="335" spans="1:6" ht="15.75" customHeight="1" x14ac:dyDescent="0.3">
      <c r="A335" s="19"/>
      <c r="B335" s="19"/>
      <c r="C335" s="19"/>
      <c r="D335" s="19"/>
      <c r="E335" s="19"/>
      <c r="F335" s="19"/>
    </row>
    <row r="336" spans="1:6" ht="15.75" customHeight="1" x14ac:dyDescent="0.3">
      <c r="A336" s="19"/>
      <c r="B336" s="19"/>
      <c r="C336" s="19"/>
      <c r="D336" s="19"/>
      <c r="E336" s="19"/>
      <c r="F336" s="19"/>
    </row>
    <row r="337" spans="1:6" ht="15.75" customHeight="1" x14ac:dyDescent="0.3">
      <c r="A337" s="19"/>
      <c r="B337" s="19"/>
      <c r="C337" s="19"/>
      <c r="D337" s="19"/>
      <c r="E337" s="19"/>
      <c r="F337" s="19"/>
    </row>
    <row r="338" spans="1:6" ht="15.75" customHeight="1" x14ac:dyDescent="0.3">
      <c r="A338" s="19"/>
      <c r="B338" s="19"/>
      <c r="C338" s="19"/>
      <c r="D338" s="19"/>
      <c r="E338" s="19"/>
      <c r="F338" s="19"/>
    </row>
    <row r="339" spans="1:6" ht="15.75" customHeight="1" x14ac:dyDescent="0.3">
      <c r="A339" s="19"/>
      <c r="B339" s="19"/>
      <c r="C339" s="19"/>
      <c r="D339" s="19"/>
      <c r="E339" s="19"/>
      <c r="F339" s="19"/>
    </row>
    <row r="340" spans="1:6" ht="15.75" customHeight="1" x14ac:dyDescent="0.3">
      <c r="A340" s="19"/>
      <c r="B340" s="19"/>
      <c r="C340" s="19"/>
      <c r="D340" s="19"/>
      <c r="E340" s="19"/>
      <c r="F340" s="19"/>
    </row>
    <row r="341" spans="1:6" ht="15.75" customHeight="1" x14ac:dyDescent="0.3">
      <c r="A341" s="19"/>
      <c r="B341" s="19"/>
      <c r="C341" s="19"/>
      <c r="D341" s="19"/>
      <c r="E341" s="19"/>
      <c r="F341" s="19"/>
    </row>
    <row r="342" spans="1:6" ht="15.75" customHeight="1" x14ac:dyDescent="0.3">
      <c r="A342" s="19"/>
      <c r="B342" s="19"/>
      <c r="C342" s="19"/>
      <c r="D342" s="19"/>
      <c r="E342" s="19"/>
      <c r="F342" s="19"/>
    </row>
    <row r="343" spans="1:6" ht="15.75" customHeight="1" x14ac:dyDescent="0.3">
      <c r="A343" s="19"/>
      <c r="B343" s="19"/>
      <c r="C343" s="19"/>
      <c r="D343" s="19"/>
      <c r="E343" s="19"/>
      <c r="F343" s="19"/>
    </row>
    <row r="344" spans="1:6" ht="15.75" customHeight="1" x14ac:dyDescent="0.3">
      <c r="A344" s="19"/>
      <c r="B344" s="19"/>
      <c r="C344" s="19"/>
      <c r="D344" s="19"/>
      <c r="E344" s="19"/>
      <c r="F344" s="19"/>
    </row>
    <row r="345" spans="1:6" ht="15.75" customHeight="1" x14ac:dyDescent="0.3">
      <c r="A345" s="19"/>
      <c r="B345" s="19"/>
      <c r="C345" s="19"/>
      <c r="D345" s="19"/>
      <c r="E345" s="19"/>
      <c r="F345" s="19"/>
    </row>
    <row r="346" spans="1:6" ht="15.75" customHeight="1" x14ac:dyDescent="0.3">
      <c r="A346" s="19"/>
      <c r="B346" s="19"/>
      <c r="C346" s="19"/>
      <c r="D346" s="19"/>
      <c r="E346" s="19"/>
      <c r="F346" s="19"/>
    </row>
    <row r="347" spans="1:6" ht="15.75" customHeight="1" x14ac:dyDescent="0.3">
      <c r="A347" s="19"/>
      <c r="B347" s="19"/>
      <c r="C347" s="19"/>
      <c r="D347" s="19"/>
      <c r="E347" s="19"/>
      <c r="F347" s="19"/>
    </row>
    <row r="348" spans="1:6" ht="15.75" customHeight="1" x14ac:dyDescent="0.3">
      <c r="A348" s="19"/>
      <c r="B348" s="19"/>
      <c r="C348" s="19"/>
      <c r="D348" s="19"/>
      <c r="E348" s="19"/>
      <c r="F348" s="19"/>
    </row>
    <row r="349" spans="1:6" ht="15.75" customHeight="1" x14ac:dyDescent="0.3">
      <c r="A349" s="19"/>
      <c r="B349" s="19"/>
      <c r="C349" s="19"/>
      <c r="D349" s="19"/>
      <c r="E349" s="19"/>
      <c r="F349" s="19"/>
    </row>
    <row r="350" spans="1:6" ht="15.75" customHeight="1" x14ac:dyDescent="0.3">
      <c r="A350" s="19"/>
      <c r="B350" s="19"/>
      <c r="C350" s="19"/>
      <c r="D350" s="19"/>
      <c r="E350" s="19"/>
      <c r="F350" s="19"/>
    </row>
    <row r="351" spans="1:6" ht="15.75" customHeight="1" x14ac:dyDescent="0.3">
      <c r="A351" s="19"/>
      <c r="B351" s="19"/>
      <c r="C351" s="19"/>
      <c r="D351" s="19"/>
      <c r="E351" s="19"/>
      <c r="F351" s="19"/>
    </row>
    <row r="352" spans="1:6" ht="15.75" customHeight="1" x14ac:dyDescent="0.3">
      <c r="A352" s="19"/>
      <c r="B352" s="19"/>
      <c r="C352" s="19"/>
      <c r="D352" s="19"/>
      <c r="E352" s="19"/>
      <c r="F352" s="19"/>
    </row>
    <row r="353" spans="1:6" ht="15.75" customHeight="1" x14ac:dyDescent="0.3">
      <c r="A353" s="19"/>
      <c r="B353" s="19"/>
      <c r="C353" s="19"/>
      <c r="D353" s="19"/>
      <c r="E353" s="19"/>
      <c r="F353" s="19"/>
    </row>
    <row r="354" spans="1:6" ht="15.75" customHeight="1" x14ac:dyDescent="0.3">
      <c r="A354" s="19"/>
      <c r="B354" s="19"/>
      <c r="C354" s="19"/>
      <c r="D354" s="19"/>
      <c r="E354" s="19"/>
      <c r="F354" s="19"/>
    </row>
    <row r="355" spans="1:6" ht="15.75" customHeight="1" x14ac:dyDescent="0.3">
      <c r="A355" s="19"/>
      <c r="B355" s="19"/>
      <c r="C355" s="19"/>
      <c r="D355" s="19"/>
      <c r="E355" s="19"/>
      <c r="F355" s="19"/>
    </row>
    <row r="356" spans="1:6" ht="15.75" customHeight="1" x14ac:dyDescent="0.3">
      <c r="A356" s="19"/>
      <c r="B356" s="19"/>
      <c r="C356" s="19"/>
      <c r="D356" s="19"/>
      <c r="E356" s="19"/>
      <c r="F356" s="19"/>
    </row>
    <row r="357" spans="1:6" ht="15.75" customHeight="1" x14ac:dyDescent="0.3">
      <c r="A357" s="19"/>
      <c r="B357" s="19"/>
      <c r="C357" s="19"/>
      <c r="D357" s="19"/>
      <c r="E357" s="19"/>
      <c r="F357" s="19"/>
    </row>
    <row r="358" spans="1:6" ht="15.75" customHeight="1" x14ac:dyDescent="0.3">
      <c r="A358" s="19"/>
      <c r="B358" s="19"/>
      <c r="C358" s="19"/>
      <c r="D358" s="19"/>
      <c r="E358" s="19"/>
      <c r="F358" s="19"/>
    </row>
    <row r="359" spans="1:6" ht="15.75" customHeight="1" x14ac:dyDescent="0.3">
      <c r="A359" s="19"/>
      <c r="B359" s="19"/>
      <c r="C359" s="19"/>
      <c r="D359" s="19"/>
      <c r="E359" s="19"/>
      <c r="F359" s="19"/>
    </row>
    <row r="360" spans="1:6" ht="15.75" customHeight="1" x14ac:dyDescent="0.3">
      <c r="A360" s="19"/>
      <c r="B360" s="19"/>
      <c r="C360" s="19"/>
      <c r="D360" s="19"/>
      <c r="E360" s="19"/>
      <c r="F360" s="19"/>
    </row>
    <row r="361" spans="1:6" ht="15.75" customHeight="1" x14ac:dyDescent="0.3">
      <c r="A361" s="19"/>
      <c r="B361" s="19"/>
      <c r="C361" s="19"/>
      <c r="D361" s="19"/>
      <c r="E361" s="19"/>
      <c r="F361" s="19"/>
    </row>
    <row r="362" spans="1:6" ht="15.75" customHeight="1" x14ac:dyDescent="0.3">
      <c r="A362" s="19"/>
      <c r="B362" s="19"/>
      <c r="C362" s="19"/>
      <c r="D362" s="19"/>
      <c r="E362" s="19"/>
      <c r="F362" s="19"/>
    </row>
    <row r="363" spans="1:6" ht="15.75" customHeight="1" x14ac:dyDescent="0.3">
      <c r="A363" s="19"/>
      <c r="B363" s="19"/>
      <c r="C363" s="19"/>
      <c r="D363" s="19"/>
      <c r="E363" s="19"/>
      <c r="F363" s="19"/>
    </row>
    <row r="364" spans="1:6" ht="15.75" customHeight="1" x14ac:dyDescent="0.3">
      <c r="A364" s="19"/>
      <c r="B364" s="19"/>
      <c r="C364" s="19"/>
      <c r="D364" s="19"/>
      <c r="E364" s="19"/>
      <c r="F364" s="19"/>
    </row>
    <row r="365" spans="1:6" ht="15.75" customHeight="1" x14ac:dyDescent="0.3">
      <c r="A365" s="19"/>
      <c r="B365" s="19"/>
      <c r="C365" s="19"/>
      <c r="D365" s="19"/>
      <c r="E365" s="19"/>
      <c r="F365" s="19"/>
    </row>
    <row r="366" spans="1:6" ht="15.75" customHeight="1" x14ac:dyDescent="0.3">
      <c r="A366" s="19"/>
      <c r="B366" s="19"/>
      <c r="C366" s="19"/>
      <c r="D366" s="19"/>
      <c r="E366" s="19"/>
      <c r="F366" s="19"/>
    </row>
    <row r="367" spans="1:6" ht="15.75" customHeight="1" x14ac:dyDescent="0.3">
      <c r="A367" s="19"/>
      <c r="B367" s="19"/>
      <c r="C367" s="19"/>
      <c r="D367" s="19"/>
      <c r="E367" s="19"/>
      <c r="F367" s="19"/>
    </row>
    <row r="368" spans="1:6" ht="15.75" customHeight="1" x14ac:dyDescent="0.3">
      <c r="A368" s="19"/>
      <c r="B368" s="19"/>
      <c r="C368" s="19"/>
      <c r="D368" s="19"/>
      <c r="E368" s="19"/>
      <c r="F368" s="19"/>
    </row>
    <row r="369" spans="1:6" ht="15.75" customHeight="1" x14ac:dyDescent="0.3">
      <c r="A369" s="19"/>
      <c r="B369" s="19"/>
      <c r="C369" s="19"/>
      <c r="D369" s="19"/>
      <c r="E369" s="19"/>
      <c r="F369" s="19"/>
    </row>
    <row r="370" spans="1:6" ht="15.75" customHeight="1" x14ac:dyDescent="0.3">
      <c r="A370" s="19"/>
      <c r="B370" s="19"/>
      <c r="C370" s="19"/>
      <c r="D370" s="19"/>
      <c r="E370" s="19"/>
      <c r="F370" s="19"/>
    </row>
    <row r="371" spans="1:6" ht="15.75" customHeight="1" x14ac:dyDescent="0.3">
      <c r="A371" s="19"/>
      <c r="B371" s="19"/>
      <c r="C371" s="19"/>
      <c r="D371" s="19"/>
      <c r="E371" s="19"/>
      <c r="F371" s="19"/>
    </row>
    <row r="372" spans="1:6" ht="15.75" customHeight="1" x14ac:dyDescent="0.3">
      <c r="A372" s="19"/>
      <c r="B372" s="19"/>
      <c r="C372" s="19"/>
      <c r="D372" s="19"/>
      <c r="E372" s="19"/>
      <c r="F372" s="19"/>
    </row>
    <row r="373" spans="1:6" ht="15.75" customHeight="1" x14ac:dyDescent="0.3">
      <c r="A373" s="19"/>
      <c r="B373" s="19"/>
      <c r="C373" s="19"/>
      <c r="D373" s="19"/>
      <c r="E373" s="19"/>
      <c r="F373" s="19"/>
    </row>
    <row r="374" spans="1:6" ht="15.75" customHeight="1" x14ac:dyDescent="0.3">
      <c r="A374" s="19"/>
      <c r="B374" s="19"/>
      <c r="C374" s="19"/>
      <c r="D374" s="19"/>
      <c r="E374" s="19"/>
      <c r="F374" s="19"/>
    </row>
    <row r="375" spans="1:6" ht="15.75" customHeight="1" x14ac:dyDescent="0.3">
      <c r="A375" s="19"/>
      <c r="B375" s="19"/>
      <c r="C375" s="19"/>
      <c r="D375" s="19"/>
      <c r="E375" s="19"/>
      <c r="F375" s="19"/>
    </row>
    <row r="376" spans="1:6" ht="15.75" customHeight="1" x14ac:dyDescent="0.3">
      <c r="A376" s="19"/>
      <c r="B376" s="19"/>
      <c r="C376" s="19"/>
      <c r="D376" s="19"/>
      <c r="E376" s="19"/>
      <c r="F376" s="19"/>
    </row>
    <row r="377" spans="1:6" ht="15.75" customHeight="1" x14ac:dyDescent="0.3">
      <c r="A377" s="19"/>
      <c r="B377" s="19"/>
      <c r="C377" s="19"/>
      <c r="D377" s="19"/>
      <c r="E377" s="19"/>
      <c r="F377" s="19"/>
    </row>
    <row r="378" spans="1:6" ht="15.75" customHeight="1" x14ac:dyDescent="0.3">
      <c r="A378" s="19"/>
      <c r="B378" s="19"/>
      <c r="C378" s="19"/>
      <c r="D378" s="19"/>
      <c r="E378" s="19"/>
      <c r="F378" s="19"/>
    </row>
    <row r="379" spans="1:6" ht="15.75" customHeight="1" x14ac:dyDescent="0.3">
      <c r="A379" s="19"/>
      <c r="B379" s="19"/>
      <c r="C379" s="19"/>
      <c r="D379" s="19"/>
      <c r="E379" s="19"/>
      <c r="F379" s="19"/>
    </row>
    <row r="380" spans="1:6" ht="15.75" customHeight="1" x14ac:dyDescent="0.3">
      <c r="A380" s="19"/>
      <c r="B380" s="19"/>
      <c r="C380" s="19"/>
      <c r="D380" s="19"/>
      <c r="E380" s="19"/>
      <c r="F380" s="19"/>
    </row>
    <row r="381" spans="1:6" ht="15.75" customHeight="1" x14ac:dyDescent="0.3">
      <c r="A381" s="19"/>
      <c r="B381" s="19"/>
      <c r="C381" s="19"/>
      <c r="D381" s="19"/>
      <c r="E381" s="19"/>
      <c r="F381" s="19"/>
    </row>
    <row r="382" spans="1:6" ht="15.75" customHeight="1" x14ac:dyDescent="0.3">
      <c r="A382" s="19"/>
      <c r="B382" s="19"/>
      <c r="C382" s="19"/>
      <c r="D382" s="19"/>
      <c r="E382" s="19"/>
      <c r="F382" s="19"/>
    </row>
    <row r="383" spans="1:6" ht="15.75" customHeight="1" x14ac:dyDescent="0.3">
      <c r="A383" s="19"/>
      <c r="B383" s="19"/>
      <c r="C383" s="19"/>
      <c r="D383" s="19"/>
      <c r="E383" s="19"/>
      <c r="F383" s="19"/>
    </row>
    <row r="384" spans="1:6" ht="15.75" customHeight="1" x14ac:dyDescent="0.3">
      <c r="A384" s="19"/>
      <c r="B384" s="19"/>
      <c r="C384" s="19"/>
      <c r="D384" s="19"/>
      <c r="E384" s="19"/>
      <c r="F384" s="19"/>
    </row>
    <row r="385" spans="1:6" ht="15.75" customHeight="1" x14ac:dyDescent="0.3">
      <c r="A385" s="19"/>
      <c r="B385" s="19"/>
      <c r="C385" s="19"/>
      <c r="D385" s="19"/>
      <c r="E385" s="19"/>
      <c r="F385" s="19"/>
    </row>
    <row r="386" spans="1:6" ht="15.75" customHeight="1" x14ac:dyDescent="0.3">
      <c r="A386" s="19"/>
      <c r="B386" s="19"/>
      <c r="C386" s="19"/>
      <c r="D386" s="19"/>
      <c r="E386" s="19"/>
      <c r="F386" s="19"/>
    </row>
    <row r="387" spans="1:6" ht="15.75" customHeight="1" x14ac:dyDescent="0.3">
      <c r="A387" s="19"/>
      <c r="B387" s="19"/>
      <c r="C387" s="19"/>
      <c r="D387" s="19"/>
      <c r="E387" s="19"/>
      <c r="F387" s="19"/>
    </row>
    <row r="388" spans="1:6" ht="15.75" customHeight="1" x14ac:dyDescent="0.3">
      <c r="A388" s="19"/>
      <c r="B388" s="19"/>
      <c r="C388" s="19"/>
      <c r="D388" s="19"/>
      <c r="E388" s="19"/>
      <c r="F388" s="19"/>
    </row>
    <row r="389" spans="1:6" ht="15.75" customHeight="1" x14ac:dyDescent="0.3">
      <c r="A389" s="19"/>
      <c r="B389" s="19"/>
      <c r="C389" s="19"/>
      <c r="D389" s="19"/>
      <c r="E389" s="19"/>
      <c r="F389" s="19"/>
    </row>
    <row r="390" spans="1:6" ht="15.75" customHeight="1" x14ac:dyDescent="0.3">
      <c r="A390" s="19"/>
      <c r="B390" s="19"/>
      <c r="C390" s="19"/>
      <c r="D390" s="19"/>
      <c r="E390" s="19"/>
      <c r="F390" s="19"/>
    </row>
    <row r="391" spans="1:6" ht="15.75" customHeight="1" x14ac:dyDescent="0.3">
      <c r="A391" s="19"/>
      <c r="B391" s="19"/>
      <c r="C391" s="19"/>
      <c r="D391" s="19"/>
      <c r="E391" s="19"/>
      <c r="F391" s="19"/>
    </row>
    <row r="392" spans="1:6" ht="15.75" customHeight="1" x14ac:dyDescent="0.3">
      <c r="A392" s="19"/>
      <c r="B392" s="19"/>
      <c r="C392" s="19"/>
      <c r="D392" s="19"/>
      <c r="E392" s="19"/>
      <c r="F392" s="19"/>
    </row>
    <row r="393" spans="1:6" ht="15.75" customHeight="1" x14ac:dyDescent="0.3">
      <c r="A393" s="19"/>
      <c r="B393" s="19"/>
      <c r="C393" s="19"/>
      <c r="D393" s="19"/>
      <c r="E393" s="19"/>
      <c r="F393" s="19"/>
    </row>
    <row r="394" spans="1:6" ht="15.75" customHeight="1" x14ac:dyDescent="0.3">
      <c r="A394" s="19"/>
      <c r="B394" s="19"/>
      <c r="C394" s="19"/>
      <c r="D394" s="19"/>
      <c r="E394" s="19"/>
      <c r="F394" s="19"/>
    </row>
    <row r="395" spans="1:6" ht="15.75" customHeight="1" x14ac:dyDescent="0.3">
      <c r="A395" s="19"/>
      <c r="B395" s="19"/>
      <c r="C395" s="19"/>
      <c r="D395" s="19"/>
      <c r="E395" s="19"/>
      <c r="F395" s="19"/>
    </row>
    <row r="396" spans="1:6" ht="15.75" customHeight="1" x14ac:dyDescent="0.3">
      <c r="A396" s="19"/>
      <c r="B396" s="19"/>
      <c r="C396" s="19"/>
      <c r="D396" s="19"/>
      <c r="E396" s="19"/>
      <c r="F396" s="19"/>
    </row>
    <row r="397" spans="1:6" ht="15.75" customHeight="1" x14ac:dyDescent="0.3">
      <c r="A397" s="19"/>
      <c r="B397" s="19"/>
      <c r="C397" s="19"/>
      <c r="D397" s="19"/>
      <c r="E397" s="19"/>
      <c r="F397" s="19"/>
    </row>
    <row r="398" spans="1:6" ht="15.75" customHeight="1" x14ac:dyDescent="0.3">
      <c r="A398" s="19"/>
      <c r="B398" s="19"/>
      <c r="C398" s="19"/>
      <c r="D398" s="19"/>
      <c r="E398" s="19"/>
      <c r="F398" s="19"/>
    </row>
    <row r="399" spans="1:6" ht="15.75" customHeight="1" x14ac:dyDescent="0.3">
      <c r="A399" s="19"/>
      <c r="B399" s="19"/>
      <c r="C399" s="19"/>
      <c r="D399" s="19"/>
      <c r="E399" s="19"/>
      <c r="F399" s="19"/>
    </row>
    <row r="400" spans="1:6" ht="15.75" customHeight="1" x14ac:dyDescent="0.3">
      <c r="A400" s="19"/>
      <c r="B400" s="19"/>
      <c r="C400" s="19"/>
      <c r="D400" s="19"/>
      <c r="E400" s="19"/>
      <c r="F400" s="19"/>
    </row>
    <row r="401" spans="1:6" ht="15.75" customHeight="1" x14ac:dyDescent="0.3">
      <c r="A401" s="19"/>
      <c r="B401" s="19"/>
      <c r="C401" s="19"/>
      <c r="D401" s="19"/>
      <c r="E401" s="19"/>
      <c r="F401" s="19"/>
    </row>
    <row r="402" spans="1:6" ht="15.75" customHeight="1" x14ac:dyDescent="0.3">
      <c r="A402" s="19"/>
      <c r="B402" s="19"/>
      <c r="C402" s="19"/>
      <c r="D402" s="19"/>
      <c r="E402" s="19"/>
      <c r="F402" s="19"/>
    </row>
    <row r="403" spans="1:6" ht="15.75" customHeight="1" x14ac:dyDescent="0.3">
      <c r="A403" s="19"/>
      <c r="B403" s="19"/>
      <c r="C403" s="19"/>
      <c r="D403" s="19"/>
      <c r="E403" s="19"/>
      <c r="F403" s="19"/>
    </row>
    <row r="404" spans="1:6" ht="15.75" customHeight="1" x14ac:dyDescent="0.3">
      <c r="A404" s="19"/>
      <c r="B404" s="19"/>
      <c r="C404" s="19"/>
      <c r="D404" s="19"/>
      <c r="E404" s="19"/>
      <c r="F404" s="19"/>
    </row>
    <row r="405" spans="1:6" ht="15.75" customHeight="1" x14ac:dyDescent="0.3">
      <c r="A405" s="19"/>
      <c r="B405" s="19"/>
      <c r="C405" s="19"/>
      <c r="D405" s="19"/>
      <c r="E405" s="19"/>
      <c r="F405" s="19"/>
    </row>
    <row r="406" spans="1:6" ht="15.75" customHeight="1" x14ac:dyDescent="0.3">
      <c r="A406" s="19"/>
      <c r="B406" s="19"/>
      <c r="C406" s="19"/>
      <c r="D406" s="19"/>
      <c r="E406" s="19"/>
      <c r="F406" s="19"/>
    </row>
    <row r="407" spans="1:6" ht="15.75" customHeight="1" x14ac:dyDescent="0.3">
      <c r="A407" s="19"/>
      <c r="B407" s="19"/>
      <c r="C407" s="19"/>
      <c r="D407" s="19"/>
      <c r="E407" s="19"/>
      <c r="F407" s="19"/>
    </row>
    <row r="408" spans="1:6" ht="15.75" customHeight="1" x14ac:dyDescent="0.3">
      <c r="A408" s="19"/>
      <c r="B408" s="19"/>
      <c r="C408" s="19"/>
      <c r="D408" s="19"/>
      <c r="E408" s="19"/>
      <c r="F408" s="19"/>
    </row>
    <row r="409" spans="1:6" ht="15.75" customHeight="1" x14ac:dyDescent="0.3">
      <c r="A409" s="19"/>
      <c r="B409" s="19"/>
      <c r="C409" s="19"/>
      <c r="D409" s="19"/>
      <c r="E409" s="19"/>
      <c r="F409" s="19"/>
    </row>
    <row r="410" spans="1:6" ht="15.75" customHeight="1" x14ac:dyDescent="0.3">
      <c r="A410" s="19"/>
      <c r="B410" s="19"/>
      <c r="C410" s="19"/>
      <c r="D410" s="19"/>
      <c r="E410" s="19"/>
      <c r="F410" s="19"/>
    </row>
    <row r="411" spans="1:6" ht="15.75" customHeight="1" x14ac:dyDescent="0.3">
      <c r="A411" s="19"/>
      <c r="B411" s="19"/>
      <c r="C411" s="19"/>
      <c r="D411" s="19"/>
      <c r="E411" s="19"/>
      <c r="F411" s="19"/>
    </row>
    <row r="412" spans="1:6" ht="15.75" customHeight="1" x14ac:dyDescent="0.3">
      <c r="A412" s="19"/>
      <c r="B412" s="19"/>
      <c r="C412" s="19"/>
      <c r="D412" s="19"/>
      <c r="E412" s="19"/>
      <c r="F412" s="19"/>
    </row>
    <row r="413" spans="1:6" ht="15.75" customHeight="1" x14ac:dyDescent="0.3">
      <c r="A413" s="19"/>
      <c r="B413" s="19"/>
      <c r="C413" s="19"/>
      <c r="D413" s="19"/>
      <c r="E413" s="19"/>
      <c r="F413" s="19"/>
    </row>
    <row r="414" spans="1:6" ht="15.75" customHeight="1" x14ac:dyDescent="0.3">
      <c r="A414" s="19"/>
      <c r="B414" s="19"/>
      <c r="C414" s="19"/>
      <c r="D414" s="19"/>
      <c r="E414" s="19"/>
      <c r="F414" s="19"/>
    </row>
    <row r="415" spans="1:6" ht="15.75" customHeight="1" x14ac:dyDescent="0.3">
      <c r="A415" s="19"/>
      <c r="B415" s="19"/>
      <c r="C415" s="19"/>
      <c r="D415" s="19"/>
      <c r="E415" s="19"/>
      <c r="F415" s="19"/>
    </row>
    <row r="416" spans="1:6" ht="15.75" customHeight="1" x14ac:dyDescent="0.3">
      <c r="A416" s="19"/>
      <c r="B416" s="19"/>
      <c r="C416" s="19"/>
      <c r="D416" s="19"/>
      <c r="E416" s="19"/>
      <c r="F416" s="19"/>
    </row>
    <row r="417" spans="1:6" ht="15.75" customHeight="1" x14ac:dyDescent="0.3">
      <c r="A417" s="19"/>
      <c r="B417" s="19"/>
      <c r="C417" s="19"/>
      <c r="D417" s="19"/>
      <c r="E417" s="19"/>
      <c r="F417" s="19"/>
    </row>
    <row r="418" spans="1:6" ht="15.75" customHeight="1" x14ac:dyDescent="0.3">
      <c r="A418" s="19"/>
      <c r="B418" s="19"/>
      <c r="C418" s="19"/>
      <c r="D418" s="19"/>
      <c r="E418" s="19"/>
      <c r="F418" s="19"/>
    </row>
    <row r="419" spans="1:6" ht="15.75" customHeight="1" x14ac:dyDescent="0.3">
      <c r="A419" s="19"/>
      <c r="B419" s="19"/>
      <c r="C419" s="19"/>
      <c r="D419" s="19"/>
      <c r="E419" s="19"/>
      <c r="F419" s="19"/>
    </row>
    <row r="420" spans="1:6" ht="15.75" customHeight="1" x14ac:dyDescent="0.3">
      <c r="A420" s="19"/>
      <c r="B420" s="19"/>
      <c r="C420" s="19"/>
      <c r="D420" s="19"/>
      <c r="E420" s="19"/>
      <c r="F420" s="19"/>
    </row>
    <row r="421" spans="1:6" ht="15.75" customHeight="1" x14ac:dyDescent="0.3">
      <c r="A421" s="19"/>
      <c r="B421" s="19"/>
      <c r="C421" s="19"/>
      <c r="D421" s="19"/>
      <c r="E421" s="19"/>
      <c r="F421" s="19"/>
    </row>
    <row r="422" spans="1:6" ht="15.75" customHeight="1" x14ac:dyDescent="0.3">
      <c r="A422" s="19"/>
      <c r="B422" s="19"/>
      <c r="C422" s="19"/>
      <c r="D422" s="19"/>
      <c r="E422" s="19"/>
      <c r="F422" s="19"/>
    </row>
    <row r="423" spans="1:6" ht="15.75" customHeight="1" x14ac:dyDescent="0.3">
      <c r="A423" s="19"/>
      <c r="B423" s="19"/>
      <c r="C423" s="19"/>
      <c r="D423" s="19"/>
      <c r="E423" s="19"/>
      <c r="F423" s="19"/>
    </row>
    <row r="424" spans="1:6" ht="15.75" customHeight="1" x14ac:dyDescent="0.3">
      <c r="A424" s="19"/>
      <c r="B424" s="19"/>
      <c r="C424" s="19"/>
      <c r="D424" s="19"/>
      <c r="E424" s="19"/>
      <c r="F424" s="19"/>
    </row>
    <row r="425" spans="1:6" ht="15.75" customHeight="1" x14ac:dyDescent="0.3">
      <c r="A425" s="19"/>
      <c r="B425" s="19"/>
      <c r="C425" s="19"/>
      <c r="D425" s="19"/>
      <c r="E425" s="19"/>
      <c r="F425" s="19"/>
    </row>
    <row r="426" spans="1:6" ht="15.75" customHeight="1" x14ac:dyDescent="0.3">
      <c r="A426" s="19"/>
      <c r="B426" s="19"/>
      <c r="C426" s="19"/>
      <c r="D426" s="19"/>
      <c r="E426" s="19"/>
      <c r="F426" s="19"/>
    </row>
    <row r="427" spans="1:6" ht="15.75" customHeight="1" x14ac:dyDescent="0.3">
      <c r="A427" s="19"/>
      <c r="B427" s="19"/>
      <c r="C427" s="19"/>
      <c r="D427" s="19"/>
      <c r="E427" s="19"/>
      <c r="F427" s="19"/>
    </row>
    <row r="428" spans="1:6" ht="15.75" customHeight="1" x14ac:dyDescent="0.3">
      <c r="A428" s="19"/>
      <c r="B428" s="19"/>
      <c r="C428" s="19"/>
      <c r="D428" s="19"/>
      <c r="E428" s="19"/>
      <c r="F428" s="19"/>
    </row>
    <row r="429" spans="1:6" ht="15.75" customHeight="1" x14ac:dyDescent="0.3">
      <c r="A429" s="19"/>
      <c r="B429" s="19"/>
      <c r="C429" s="19"/>
      <c r="D429" s="19"/>
      <c r="E429" s="19"/>
      <c r="F429" s="19"/>
    </row>
    <row r="430" spans="1:6" ht="15.75" customHeight="1" x14ac:dyDescent="0.3">
      <c r="A430" s="19"/>
      <c r="B430" s="19"/>
      <c r="C430" s="19"/>
      <c r="D430" s="19"/>
      <c r="E430" s="19"/>
      <c r="F430" s="19"/>
    </row>
    <row r="431" spans="1:6" ht="15.75" customHeight="1" x14ac:dyDescent="0.3">
      <c r="A431" s="19"/>
      <c r="B431" s="19"/>
      <c r="C431" s="19"/>
      <c r="D431" s="19"/>
      <c r="E431" s="19"/>
      <c r="F431" s="19"/>
    </row>
    <row r="432" spans="1:6" ht="15.75" customHeight="1" x14ac:dyDescent="0.3">
      <c r="A432" s="19"/>
      <c r="B432" s="19"/>
      <c r="C432" s="19"/>
      <c r="D432" s="19"/>
      <c r="E432" s="19"/>
      <c r="F432" s="19"/>
    </row>
    <row r="433" spans="1:6" ht="15.75" customHeight="1" x14ac:dyDescent="0.3">
      <c r="A433" s="19"/>
      <c r="B433" s="19"/>
      <c r="C433" s="19"/>
      <c r="D433" s="19"/>
      <c r="E433" s="19"/>
      <c r="F433" s="19"/>
    </row>
    <row r="434" spans="1:6" ht="15.75" customHeight="1" x14ac:dyDescent="0.3">
      <c r="A434" s="19"/>
      <c r="B434" s="19"/>
      <c r="C434" s="19"/>
      <c r="D434" s="19"/>
      <c r="E434" s="19"/>
      <c r="F434" s="19"/>
    </row>
    <row r="435" spans="1:6" ht="15.75" customHeight="1" x14ac:dyDescent="0.3">
      <c r="A435" s="19"/>
      <c r="B435" s="19"/>
      <c r="C435" s="19"/>
      <c r="D435" s="19"/>
      <c r="E435" s="19"/>
      <c r="F435" s="19"/>
    </row>
    <row r="436" spans="1:6" ht="15.75" customHeight="1" x14ac:dyDescent="0.3">
      <c r="A436" s="19"/>
      <c r="B436" s="19"/>
      <c r="C436" s="19"/>
      <c r="D436" s="19"/>
      <c r="E436" s="19"/>
      <c r="F436" s="19"/>
    </row>
    <row r="437" spans="1:6" ht="15.75" customHeight="1" x14ac:dyDescent="0.3">
      <c r="A437" s="19"/>
      <c r="B437" s="19"/>
      <c r="C437" s="19"/>
      <c r="D437" s="19"/>
      <c r="E437" s="19"/>
      <c r="F437" s="19"/>
    </row>
    <row r="438" spans="1:6" ht="15.75" customHeight="1" x14ac:dyDescent="0.3">
      <c r="A438" s="19"/>
      <c r="B438" s="19"/>
      <c r="C438" s="19"/>
      <c r="D438" s="19"/>
      <c r="E438" s="19"/>
      <c r="F438" s="19"/>
    </row>
    <row r="439" spans="1:6" ht="15.75" customHeight="1" x14ac:dyDescent="0.3">
      <c r="A439" s="19"/>
      <c r="B439" s="19"/>
      <c r="C439" s="19"/>
      <c r="D439" s="19"/>
      <c r="E439" s="19"/>
      <c r="F439" s="19"/>
    </row>
    <row r="440" spans="1:6" ht="15.75" customHeight="1" x14ac:dyDescent="0.3">
      <c r="A440" s="19"/>
      <c r="B440" s="19"/>
      <c r="C440" s="19"/>
      <c r="D440" s="19"/>
      <c r="E440" s="19"/>
      <c r="F440" s="19"/>
    </row>
    <row r="441" spans="1:6" ht="15.75" customHeight="1" x14ac:dyDescent="0.3">
      <c r="A441" s="19"/>
      <c r="B441" s="19"/>
      <c r="C441" s="19"/>
      <c r="D441" s="19"/>
      <c r="E441" s="19"/>
      <c r="F441" s="19"/>
    </row>
    <row r="442" spans="1:6" ht="15.75" customHeight="1" x14ac:dyDescent="0.3">
      <c r="A442" s="19"/>
      <c r="B442" s="19"/>
      <c r="C442" s="19"/>
      <c r="D442" s="19"/>
      <c r="E442" s="19"/>
      <c r="F442" s="19"/>
    </row>
    <row r="443" spans="1:6" ht="15.75" customHeight="1" x14ac:dyDescent="0.3">
      <c r="A443" s="19"/>
      <c r="B443" s="19"/>
      <c r="C443" s="19"/>
      <c r="D443" s="19"/>
      <c r="E443" s="19"/>
      <c r="F443" s="19"/>
    </row>
    <row r="444" spans="1:6" ht="15.75" customHeight="1" x14ac:dyDescent="0.3">
      <c r="A444" s="19"/>
      <c r="B444" s="19"/>
      <c r="C444" s="19"/>
      <c r="D444" s="19"/>
      <c r="E444" s="19"/>
      <c r="F444" s="19"/>
    </row>
    <row r="445" spans="1:6" ht="15.75" customHeight="1" x14ac:dyDescent="0.3">
      <c r="A445" s="19"/>
      <c r="B445" s="19"/>
      <c r="C445" s="19"/>
      <c r="D445" s="19"/>
      <c r="E445" s="19"/>
      <c r="F445" s="19"/>
    </row>
    <row r="446" spans="1:6" ht="15.75" customHeight="1" x14ac:dyDescent="0.3">
      <c r="A446" s="19"/>
      <c r="B446" s="19"/>
      <c r="C446" s="19"/>
      <c r="D446" s="19"/>
      <c r="E446" s="19"/>
      <c r="F446" s="19"/>
    </row>
    <row r="447" spans="1:6" ht="15.75" customHeight="1" x14ac:dyDescent="0.3">
      <c r="A447" s="19"/>
      <c r="B447" s="19"/>
      <c r="C447" s="19"/>
      <c r="D447" s="19"/>
      <c r="E447" s="19"/>
      <c r="F447" s="19"/>
    </row>
    <row r="448" spans="1:6" ht="15.75" customHeight="1" x14ac:dyDescent="0.3">
      <c r="A448" s="19"/>
      <c r="B448" s="19"/>
      <c r="C448" s="19"/>
      <c r="D448" s="19"/>
      <c r="E448" s="19"/>
      <c r="F448" s="19"/>
    </row>
    <row r="449" spans="1:6" ht="15.75" customHeight="1" x14ac:dyDescent="0.3">
      <c r="A449" s="19"/>
      <c r="B449" s="19"/>
      <c r="C449" s="19"/>
      <c r="D449" s="19"/>
      <c r="E449" s="19"/>
      <c r="F449" s="19"/>
    </row>
    <row r="450" spans="1:6" ht="15.75" customHeight="1" x14ac:dyDescent="0.3">
      <c r="A450" s="19"/>
      <c r="B450" s="19"/>
      <c r="C450" s="19"/>
      <c r="D450" s="19"/>
      <c r="E450" s="19"/>
      <c r="F450" s="19"/>
    </row>
    <row r="451" spans="1:6" ht="15.75" customHeight="1" x14ac:dyDescent="0.3">
      <c r="A451" s="19"/>
      <c r="B451" s="19"/>
      <c r="C451" s="19"/>
      <c r="D451" s="19"/>
      <c r="E451" s="19"/>
      <c r="F451" s="19"/>
    </row>
    <row r="452" spans="1:6" ht="15.75" customHeight="1" x14ac:dyDescent="0.3">
      <c r="A452" s="19"/>
      <c r="B452" s="19"/>
      <c r="C452" s="19"/>
      <c r="D452" s="19"/>
      <c r="E452" s="19"/>
      <c r="F452" s="19"/>
    </row>
    <row r="453" spans="1:6" ht="15.75" customHeight="1" x14ac:dyDescent="0.3">
      <c r="A453" s="19"/>
      <c r="B453" s="19"/>
      <c r="C453" s="19"/>
      <c r="D453" s="19"/>
      <c r="E453" s="19"/>
      <c r="F453" s="19"/>
    </row>
    <row r="454" spans="1:6" ht="15.75" customHeight="1" x14ac:dyDescent="0.3">
      <c r="A454" s="19"/>
      <c r="B454" s="19"/>
      <c r="C454" s="19"/>
      <c r="D454" s="19"/>
      <c r="E454" s="19"/>
      <c r="F454" s="19"/>
    </row>
    <row r="455" spans="1:6" ht="15.75" customHeight="1" x14ac:dyDescent="0.3">
      <c r="A455" s="19"/>
      <c r="B455" s="19"/>
      <c r="C455" s="19"/>
      <c r="D455" s="19"/>
      <c r="E455" s="19"/>
      <c r="F455" s="19"/>
    </row>
    <row r="456" spans="1:6" ht="15.75" customHeight="1" x14ac:dyDescent="0.3">
      <c r="A456" s="19"/>
      <c r="B456" s="19"/>
      <c r="C456" s="19"/>
      <c r="D456" s="19"/>
      <c r="E456" s="19"/>
      <c r="F456" s="19"/>
    </row>
    <row r="457" spans="1:6" ht="15.75" customHeight="1" x14ac:dyDescent="0.3">
      <c r="A457" s="19"/>
      <c r="B457" s="19"/>
      <c r="C457" s="19"/>
      <c r="D457" s="19"/>
      <c r="E457" s="19"/>
      <c r="F457" s="19"/>
    </row>
    <row r="458" spans="1:6" ht="15.75" customHeight="1" x14ac:dyDescent="0.3">
      <c r="A458" s="19"/>
      <c r="B458" s="19"/>
      <c r="C458" s="19"/>
      <c r="D458" s="19"/>
      <c r="E458" s="19"/>
      <c r="F458" s="19"/>
    </row>
    <row r="459" spans="1:6" ht="15.75" customHeight="1" x14ac:dyDescent="0.3">
      <c r="A459" s="19"/>
      <c r="B459" s="19"/>
      <c r="C459" s="19"/>
      <c r="D459" s="19"/>
      <c r="E459" s="19"/>
      <c r="F459" s="19"/>
    </row>
    <row r="460" spans="1:6" ht="15.75" customHeight="1" x14ac:dyDescent="0.3">
      <c r="A460" s="19"/>
      <c r="B460" s="19"/>
      <c r="C460" s="19"/>
      <c r="D460" s="19"/>
      <c r="E460" s="19"/>
      <c r="F460" s="19"/>
    </row>
    <row r="461" spans="1:6" ht="15.75" customHeight="1" x14ac:dyDescent="0.3">
      <c r="A461" s="19"/>
      <c r="B461" s="19"/>
      <c r="C461" s="19"/>
      <c r="D461" s="19"/>
      <c r="E461" s="19"/>
      <c r="F461" s="19"/>
    </row>
    <row r="462" spans="1:6" ht="15.75" customHeight="1" x14ac:dyDescent="0.3">
      <c r="A462" s="19"/>
      <c r="B462" s="19"/>
      <c r="C462" s="19"/>
      <c r="D462" s="19"/>
      <c r="E462" s="19"/>
      <c r="F462" s="19"/>
    </row>
    <row r="463" spans="1:6" ht="15.75" customHeight="1" x14ac:dyDescent="0.3">
      <c r="A463" s="19"/>
      <c r="B463" s="19"/>
      <c r="C463" s="19"/>
      <c r="D463" s="19"/>
      <c r="E463" s="19"/>
      <c r="F463" s="19"/>
    </row>
    <row r="464" spans="1:6" ht="15.75" customHeight="1" x14ac:dyDescent="0.3">
      <c r="A464" s="19"/>
      <c r="B464" s="19"/>
      <c r="C464" s="19"/>
      <c r="D464" s="19"/>
      <c r="E464" s="19"/>
      <c r="F464" s="19"/>
    </row>
    <row r="465" spans="1:6" ht="15.75" customHeight="1" x14ac:dyDescent="0.3">
      <c r="A465" s="19"/>
      <c r="B465" s="19"/>
      <c r="C465" s="19"/>
      <c r="D465" s="19"/>
      <c r="E465" s="19"/>
      <c r="F465" s="19"/>
    </row>
    <row r="466" spans="1:6" ht="15.75" customHeight="1" x14ac:dyDescent="0.3">
      <c r="A466" s="19"/>
      <c r="B466" s="19"/>
      <c r="C466" s="19"/>
      <c r="D466" s="19"/>
      <c r="E466" s="19"/>
      <c r="F466" s="19"/>
    </row>
    <row r="467" spans="1:6" ht="15.75" customHeight="1" x14ac:dyDescent="0.3">
      <c r="A467" s="19"/>
      <c r="B467" s="19"/>
      <c r="C467" s="19"/>
      <c r="D467" s="19"/>
      <c r="E467" s="19"/>
      <c r="F467" s="19"/>
    </row>
    <row r="468" spans="1:6" ht="15.75" customHeight="1" x14ac:dyDescent="0.3">
      <c r="A468" s="19"/>
      <c r="B468" s="19"/>
      <c r="C468" s="19"/>
      <c r="D468" s="19"/>
      <c r="E468" s="19"/>
      <c r="F468" s="19"/>
    </row>
    <row r="469" spans="1:6" ht="15.75" customHeight="1" x14ac:dyDescent="0.3">
      <c r="A469" s="19"/>
      <c r="B469" s="19"/>
      <c r="C469" s="19"/>
      <c r="D469" s="19"/>
      <c r="E469" s="19"/>
      <c r="F469" s="19"/>
    </row>
    <row r="470" spans="1:6" ht="15.75" customHeight="1" x14ac:dyDescent="0.3">
      <c r="A470" s="19"/>
      <c r="B470" s="19"/>
      <c r="C470" s="19"/>
      <c r="D470" s="19"/>
      <c r="E470" s="19"/>
      <c r="F470" s="19"/>
    </row>
    <row r="471" spans="1:6" ht="15.75" customHeight="1" x14ac:dyDescent="0.3">
      <c r="A471" s="19"/>
      <c r="B471" s="19"/>
      <c r="C471" s="19"/>
      <c r="D471" s="19"/>
      <c r="E471" s="19"/>
      <c r="F471" s="19"/>
    </row>
    <row r="472" spans="1:6" ht="15.75" customHeight="1" x14ac:dyDescent="0.3">
      <c r="A472" s="19"/>
      <c r="B472" s="19"/>
      <c r="C472" s="19"/>
      <c r="D472" s="19"/>
      <c r="E472" s="19"/>
      <c r="F472" s="19"/>
    </row>
    <row r="473" spans="1:6" ht="15.75" customHeight="1" x14ac:dyDescent="0.3">
      <c r="A473" s="19"/>
      <c r="B473" s="19"/>
      <c r="C473" s="19"/>
      <c r="D473" s="19"/>
      <c r="E473" s="19"/>
      <c r="F473" s="19"/>
    </row>
    <row r="474" spans="1:6" ht="15.75" customHeight="1" x14ac:dyDescent="0.3">
      <c r="A474" s="19"/>
      <c r="B474" s="19"/>
      <c r="C474" s="19"/>
      <c r="D474" s="19"/>
      <c r="E474" s="19"/>
      <c r="F474" s="19"/>
    </row>
    <row r="475" spans="1:6" ht="15.75" customHeight="1" x14ac:dyDescent="0.3">
      <c r="A475" s="19"/>
      <c r="B475" s="19"/>
      <c r="C475" s="19"/>
      <c r="D475" s="19"/>
      <c r="E475" s="19"/>
      <c r="F475" s="19"/>
    </row>
    <row r="476" spans="1:6" ht="15.75" customHeight="1" x14ac:dyDescent="0.3">
      <c r="A476" s="19"/>
      <c r="B476" s="19"/>
      <c r="C476" s="19"/>
      <c r="D476" s="19"/>
      <c r="E476" s="19"/>
      <c r="F476" s="19"/>
    </row>
    <row r="477" spans="1:6" ht="15.75" customHeight="1" x14ac:dyDescent="0.3">
      <c r="A477" s="19"/>
      <c r="B477" s="19"/>
      <c r="C477" s="19"/>
      <c r="D477" s="19"/>
      <c r="E477" s="19"/>
      <c r="F477" s="19"/>
    </row>
    <row r="478" spans="1:6" ht="15.75" customHeight="1" x14ac:dyDescent="0.3">
      <c r="A478" s="19"/>
      <c r="B478" s="19"/>
      <c r="C478" s="19"/>
      <c r="D478" s="19"/>
      <c r="E478" s="19"/>
      <c r="F478" s="19"/>
    </row>
    <row r="479" spans="1:6" ht="15.75" customHeight="1" x14ac:dyDescent="0.3">
      <c r="A479" s="19"/>
      <c r="B479" s="19"/>
      <c r="C479" s="19"/>
      <c r="D479" s="19"/>
      <c r="E479" s="19"/>
      <c r="F479" s="19"/>
    </row>
    <row r="480" spans="1:6" ht="15.75" customHeight="1" x14ac:dyDescent="0.3">
      <c r="A480" s="19"/>
      <c r="B480" s="19"/>
      <c r="C480" s="19"/>
      <c r="D480" s="19"/>
      <c r="E480" s="19"/>
      <c r="F480" s="19"/>
    </row>
    <row r="481" spans="1:6" ht="15.75" customHeight="1" x14ac:dyDescent="0.3">
      <c r="A481" s="19"/>
      <c r="B481" s="19"/>
      <c r="C481" s="19"/>
      <c r="D481" s="19"/>
      <c r="E481" s="19"/>
      <c r="F481" s="19"/>
    </row>
    <row r="482" spans="1:6" ht="15.75" customHeight="1" x14ac:dyDescent="0.3">
      <c r="A482" s="19"/>
      <c r="B482" s="19"/>
      <c r="C482" s="19"/>
      <c r="D482" s="19"/>
      <c r="E482" s="19"/>
      <c r="F482" s="19"/>
    </row>
    <row r="483" spans="1:6" ht="15.75" customHeight="1" x14ac:dyDescent="0.3">
      <c r="A483" s="19"/>
      <c r="B483" s="19"/>
      <c r="C483" s="19"/>
      <c r="D483" s="19"/>
      <c r="E483" s="19"/>
      <c r="F483" s="19"/>
    </row>
    <row r="484" spans="1:6" ht="15.75" customHeight="1" x14ac:dyDescent="0.3">
      <c r="A484" s="19"/>
      <c r="B484" s="19"/>
      <c r="C484" s="19"/>
      <c r="D484" s="19"/>
      <c r="E484" s="19"/>
      <c r="F484" s="19"/>
    </row>
    <row r="485" spans="1:6" ht="15.75" customHeight="1" x14ac:dyDescent="0.3">
      <c r="A485" s="19"/>
      <c r="B485" s="19"/>
      <c r="C485" s="19"/>
      <c r="D485" s="19"/>
      <c r="E485" s="19"/>
      <c r="F485" s="19"/>
    </row>
    <row r="486" spans="1:6" ht="15.75" customHeight="1" x14ac:dyDescent="0.3">
      <c r="A486" s="19"/>
      <c r="B486" s="19"/>
      <c r="C486" s="19"/>
      <c r="D486" s="19"/>
      <c r="E486" s="19"/>
      <c r="F486" s="19"/>
    </row>
    <row r="487" spans="1:6" ht="15.75" customHeight="1" x14ac:dyDescent="0.3">
      <c r="A487" s="19"/>
      <c r="B487" s="19"/>
      <c r="C487" s="19"/>
      <c r="D487" s="19"/>
      <c r="E487" s="19"/>
      <c r="F487" s="19"/>
    </row>
    <row r="488" spans="1:6" ht="15.75" customHeight="1" x14ac:dyDescent="0.3">
      <c r="A488" s="19"/>
      <c r="B488" s="19"/>
      <c r="C488" s="19"/>
      <c r="D488" s="19"/>
      <c r="E488" s="19"/>
      <c r="F488" s="19"/>
    </row>
    <row r="489" spans="1:6" ht="15.75" customHeight="1" x14ac:dyDescent="0.3">
      <c r="A489" s="19"/>
      <c r="B489" s="19"/>
      <c r="C489" s="19"/>
      <c r="D489" s="19"/>
      <c r="E489" s="19"/>
      <c r="F489" s="19"/>
    </row>
    <row r="490" spans="1:6" ht="15.75" customHeight="1" x14ac:dyDescent="0.3">
      <c r="A490" s="19"/>
      <c r="B490" s="19"/>
      <c r="C490" s="19"/>
      <c r="D490" s="19"/>
      <c r="E490" s="19"/>
      <c r="F490" s="19"/>
    </row>
    <row r="491" spans="1:6" ht="15.75" customHeight="1" x14ac:dyDescent="0.3">
      <c r="A491" s="19"/>
      <c r="B491" s="19"/>
      <c r="C491" s="19"/>
      <c r="D491" s="19"/>
      <c r="E491" s="19"/>
      <c r="F491" s="19"/>
    </row>
    <row r="492" spans="1:6" ht="15.75" customHeight="1" x14ac:dyDescent="0.3">
      <c r="A492" s="19"/>
      <c r="B492" s="19"/>
      <c r="C492" s="19"/>
      <c r="D492" s="19"/>
      <c r="E492" s="19"/>
      <c r="F492" s="19"/>
    </row>
    <row r="493" spans="1:6" ht="15.75" customHeight="1" x14ac:dyDescent="0.3">
      <c r="A493" s="19"/>
      <c r="B493" s="19"/>
      <c r="C493" s="19"/>
      <c r="D493" s="19"/>
      <c r="E493" s="19"/>
      <c r="F493" s="19"/>
    </row>
    <row r="494" spans="1:6" ht="15.75" customHeight="1" x14ac:dyDescent="0.3">
      <c r="A494" s="19"/>
      <c r="B494" s="19"/>
      <c r="C494" s="19"/>
      <c r="D494" s="19"/>
      <c r="E494" s="19"/>
      <c r="F494" s="19"/>
    </row>
    <row r="495" spans="1:6" ht="15.75" customHeight="1" x14ac:dyDescent="0.3">
      <c r="A495" s="19"/>
      <c r="B495" s="19"/>
      <c r="C495" s="19"/>
      <c r="D495" s="19"/>
      <c r="E495" s="19"/>
      <c r="F495" s="19"/>
    </row>
    <row r="496" spans="1:6" ht="15.75" customHeight="1" x14ac:dyDescent="0.3">
      <c r="A496" s="19"/>
      <c r="B496" s="19"/>
      <c r="C496" s="19"/>
      <c r="D496" s="19"/>
      <c r="E496" s="19"/>
      <c r="F496" s="19"/>
    </row>
    <row r="497" spans="1:6" ht="15.75" customHeight="1" x14ac:dyDescent="0.3">
      <c r="A497" s="19"/>
      <c r="B497" s="19"/>
      <c r="C497" s="19"/>
      <c r="D497" s="19"/>
      <c r="E497" s="19"/>
      <c r="F497" s="19"/>
    </row>
    <row r="498" spans="1:6" ht="15.75" customHeight="1" x14ac:dyDescent="0.3">
      <c r="A498" s="19"/>
      <c r="B498" s="19"/>
      <c r="C498" s="19"/>
      <c r="D498" s="19"/>
      <c r="E498" s="19"/>
      <c r="F498" s="19"/>
    </row>
    <row r="499" spans="1:6" ht="15.75" customHeight="1" x14ac:dyDescent="0.3">
      <c r="A499" s="19"/>
      <c r="B499" s="19"/>
      <c r="C499" s="19"/>
      <c r="D499" s="19"/>
      <c r="E499" s="19"/>
      <c r="F499" s="19"/>
    </row>
    <row r="500" spans="1:6" ht="15.75" customHeight="1" x14ac:dyDescent="0.3">
      <c r="A500" s="19"/>
      <c r="B500" s="19"/>
      <c r="C500" s="19"/>
      <c r="D500" s="19"/>
      <c r="E500" s="19"/>
      <c r="F500" s="19"/>
    </row>
    <row r="501" spans="1:6" ht="15.75" customHeight="1" x14ac:dyDescent="0.3">
      <c r="A501" s="19"/>
      <c r="B501" s="19"/>
      <c r="C501" s="19"/>
      <c r="D501" s="19"/>
      <c r="E501" s="19"/>
      <c r="F501" s="19"/>
    </row>
    <row r="502" spans="1:6" ht="15.75" customHeight="1" x14ac:dyDescent="0.3">
      <c r="A502" s="19"/>
      <c r="B502" s="19"/>
      <c r="C502" s="19"/>
      <c r="D502" s="19"/>
      <c r="E502" s="19"/>
      <c r="F502" s="19"/>
    </row>
    <row r="503" spans="1:6" ht="15.75" customHeight="1" x14ac:dyDescent="0.3">
      <c r="A503" s="19"/>
      <c r="B503" s="19"/>
      <c r="C503" s="19"/>
      <c r="D503" s="19"/>
      <c r="E503" s="19"/>
      <c r="F503" s="19"/>
    </row>
    <row r="504" spans="1:6" ht="15.75" customHeight="1" x14ac:dyDescent="0.3">
      <c r="A504" s="19"/>
      <c r="B504" s="19"/>
      <c r="C504" s="19"/>
      <c r="D504" s="19"/>
      <c r="E504" s="19"/>
      <c r="F504" s="19"/>
    </row>
    <row r="505" spans="1:6" ht="15.75" customHeight="1" x14ac:dyDescent="0.3">
      <c r="A505" s="19"/>
      <c r="B505" s="19"/>
      <c r="C505" s="19"/>
      <c r="D505" s="19"/>
      <c r="E505" s="19"/>
      <c r="F505" s="19"/>
    </row>
    <row r="506" spans="1:6" ht="15.75" customHeight="1" x14ac:dyDescent="0.3">
      <c r="A506" s="19"/>
      <c r="B506" s="19"/>
      <c r="C506" s="19"/>
      <c r="D506" s="19"/>
      <c r="E506" s="19"/>
      <c r="F506" s="19"/>
    </row>
    <row r="507" spans="1:6" ht="15.75" customHeight="1" x14ac:dyDescent="0.3">
      <c r="A507" s="19"/>
      <c r="B507" s="19"/>
      <c r="C507" s="19"/>
      <c r="D507" s="19"/>
      <c r="E507" s="19"/>
      <c r="F507" s="19"/>
    </row>
    <row r="508" spans="1:6" ht="15.75" customHeight="1" x14ac:dyDescent="0.3">
      <c r="A508" s="19"/>
      <c r="B508" s="19"/>
      <c r="C508" s="19"/>
      <c r="D508" s="19"/>
      <c r="E508" s="19"/>
      <c r="F508" s="19"/>
    </row>
    <row r="509" spans="1:6" ht="15.75" customHeight="1" x14ac:dyDescent="0.3">
      <c r="A509" s="19"/>
      <c r="B509" s="19"/>
      <c r="C509" s="19"/>
      <c r="D509" s="19"/>
      <c r="E509" s="19"/>
      <c r="F509" s="19"/>
    </row>
    <row r="510" spans="1:6" ht="15.75" customHeight="1" x14ac:dyDescent="0.3">
      <c r="A510" s="19"/>
      <c r="B510" s="19"/>
      <c r="C510" s="19"/>
      <c r="D510" s="19"/>
      <c r="E510" s="19"/>
      <c r="F510" s="19"/>
    </row>
    <row r="511" spans="1:6" ht="15.75" customHeight="1" x14ac:dyDescent="0.3">
      <c r="A511" s="19"/>
      <c r="B511" s="19"/>
      <c r="C511" s="19"/>
      <c r="D511" s="19"/>
      <c r="E511" s="19"/>
      <c r="F511" s="19"/>
    </row>
    <row r="512" spans="1:6" ht="15.75" customHeight="1" x14ac:dyDescent="0.3">
      <c r="A512" s="19"/>
      <c r="B512" s="19"/>
      <c r="C512" s="19"/>
      <c r="D512" s="19"/>
      <c r="E512" s="19"/>
      <c r="F512" s="19"/>
    </row>
    <row r="513" spans="1:6" ht="15.75" customHeight="1" x14ac:dyDescent="0.3">
      <c r="A513" s="19"/>
      <c r="B513" s="19"/>
      <c r="C513" s="19"/>
      <c r="D513" s="19"/>
      <c r="E513" s="19"/>
      <c r="F513" s="19"/>
    </row>
    <row r="514" spans="1:6" ht="15.75" customHeight="1" x14ac:dyDescent="0.3">
      <c r="A514" s="19"/>
      <c r="B514" s="19"/>
      <c r="C514" s="19"/>
      <c r="D514" s="19"/>
      <c r="E514" s="19"/>
      <c r="F514" s="19"/>
    </row>
    <row r="515" spans="1:6" ht="15.75" customHeight="1" x14ac:dyDescent="0.3">
      <c r="A515" s="19"/>
      <c r="B515" s="19"/>
      <c r="C515" s="19"/>
      <c r="D515" s="19"/>
      <c r="E515" s="19"/>
      <c r="F515" s="19"/>
    </row>
    <row r="516" spans="1:6" ht="15.75" customHeight="1" x14ac:dyDescent="0.3">
      <c r="A516" s="19"/>
      <c r="B516" s="19"/>
      <c r="C516" s="19"/>
      <c r="D516" s="19"/>
      <c r="E516" s="19"/>
      <c r="F516" s="19"/>
    </row>
    <row r="517" spans="1:6" ht="15.75" customHeight="1" x14ac:dyDescent="0.3">
      <c r="A517" s="19"/>
      <c r="B517" s="19"/>
      <c r="C517" s="19"/>
      <c r="D517" s="19"/>
      <c r="E517" s="19"/>
      <c r="F517" s="19"/>
    </row>
    <row r="518" spans="1:6" ht="15.75" customHeight="1" x14ac:dyDescent="0.3">
      <c r="A518" s="19"/>
      <c r="B518" s="19"/>
      <c r="C518" s="19"/>
      <c r="D518" s="19"/>
      <c r="E518" s="19"/>
      <c r="F518" s="19"/>
    </row>
    <row r="519" spans="1:6" ht="15.75" customHeight="1" x14ac:dyDescent="0.3">
      <c r="A519" s="19"/>
      <c r="B519" s="19"/>
      <c r="C519" s="19"/>
      <c r="D519" s="19"/>
      <c r="E519" s="19"/>
      <c r="F519" s="19"/>
    </row>
    <row r="520" spans="1:6" ht="15.75" customHeight="1" x14ac:dyDescent="0.3">
      <c r="A520" s="19"/>
      <c r="B520" s="19"/>
      <c r="C520" s="19"/>
      <c r="D520" s="19"/>
      <c r="E520" s="19"/>
      <c r="F520" s="19"/>
    </row>
    <row r="521" spans="1:6" ht="15.75" customHeight="1" x14ac:dyDescent="0.3">
      <c r="A521" s="19"/>
      <c r="B521" s="19"/>
      <c r="C521" s="19"/>
      <c r="D521" s="19"/>
      <c r="E521" s="19"/>
      <c r="F521" s="19"/>
    </row>
    <row r="522" spans="1:6" ht="15.75" customHeight="1" x14ac:dyDescent="0.3">
      <c r="A522" s="19"/>
      <c r="B522" s="19"/>
      <c r="C522" s="19"/>
      <c r="D522" s="19"/>
      <c r="E522" s="19"/>
      <c r="F522" s="19"/>
    </row>
    <row r="523" spans="1:6" ht="15.75" customHeight="1" x14ac:dyDescent="0.3">
      <c r="A523" s="19"/>
      <c r="B523" s="19"/>
      <c r="C523" s="19"/>
      <c r="D523" s="19"/>
      <c r="E523" s="19"/>
      <c r="F523" s="19"/>
    </row>
    <row r="524" spans="1:6" ht="15.75" customHeight="1" x14ac:dyDescent="0.3">
      <c r="A524" s="19"/>
      <c r="B524" s="19"/>
      <c r="C524" s="19"/>
      <c r="D524" s="19"/>
      <c r="E524" s="19"/>
      <c r="F524" s="19"/>
    </row>
    <row r="525" spans="1:6" ht="15.75" customHeight="1" x14ac:dyDescent="0.3">
      <c r="A525" s="19"/>
      <c r="B525" s="19"/>
      <c r="C525" s="19"/>
      <c r="D525" s="19"/>
      <c r="E525" s="19"/>
      <c r="F525" s="19"/>
    </row>
    <row r="526" spans="1:6" ht="15.75" customHeight="1" x14ac:dyDescent="0.3">
      <c r="A526" s="19"/>
      <c r="B526" s="19"/>
      <c r="C526" s="19"/>
      <c r="D526" s="19"/>
      <c r="E526" s="19"/>
      <c r="F526" s="19"/>
    </row>
    <row r="527" spans="1:6" ht="15.75" customHeight="1" x14ac:dyDescent="0.3">
      <c r="A527" s="19"/>
      <c r="B527" s="19"/>
      <c r="C527" s="19"/>
      <c r="D527" s="19"/>
      <c r="E527" s="19"/>
      <c r="F527" s="19"/>
    </row>
    <row r="528" spans="1:6" ht="15.75" customHeight="1" x14ac:dyDescent="0.3">
      <c r="A528" s="19"/>
      <c r="B528" s="19"/>
      <c r="C528" s="19"/>
      <c r="D528" s="19"/>
      <c r="E528" s="19"/>
      <c r="F528" s="19"/>
    </row>
    <row r="529" spans="1:6" ht="15.75" customHeight="1" x14ac:dyDescent="0.3">
      <c r="A529" s="19"/>
      <c r="B529" s="19"/>
      <c r="C529" s="19"/>
      <c r="D529" s="19"/>
      <c r="E529" s="19"/>
      <c r="F529" s="19"/>
    </row>
    <row r="530" spans="1:6" ht="15.75" customHeight="1" x14ac:dyDescent="0.3">
      <c r="A530" s="19"/>
      <c r="B530" s="19"/>
      <c r="C530" s="19"/>
      <c r="D530" s="19"/>
      <c r="E530" s="19"/>
      <c r="F530" s="19"/>
    </row>
    <row r="531" spans="1:6" ht="15.75" customHeight="1" x14ac:dyDescent="0.3">
      <c r="A531" s="19"/>
      <c r="B531" s="19"/>
      <c r="C531" s="19"/>
      <c r="D531" s="19"/>
      <c r="E531" s="19"/>
      <c r="F531" s="19"/>
    </row>
    <row r="532" spans="1:6" ht="15.75" customHeight="1" x14ac:dyDescent="0.3">
      <c r="A532" s="19"/>
      <c r="B532" s="19"/>
      <c r="C532" s="19"/>
      <c r="D532" s="19"/>
      <c r="E532" s="19"/>
      <c r="F532" s="19"/>
    </row>
    <row r="533" spans="1:6" ht="15.75" customHeight="1" x14ac:dyDescent="0.3">
      <c r="A533" s="19"/>
      <c r="B533" s="19"/>
      <c r="C533" s="19"/>
      <c r="D533" s="19"/>
      <c r="E533" s="19"/>
      <c r="F533" s="19"/>
    </row>
    <row r="534" spans="1:6" ht="15.75" customHeight="1" x14ac:dyDescent="0.3">
      <c r="A534" s="19"/>
      <c r="B534" s="19"/>
      <c r="C534" s="19"/>
      <c r="D534" s="19"/>
      <c r="E534" s="19"/>
      <c r="F534" s="19"/>
    </row>
    <row r="535" spans="1:6" ht="15.75" customHeight="1" x14ac:dyDescent="0.3">
      <c r="A535" s="19"/>
      <c r="B535" s="19"/>
      <c r="C535" s="19"/>
      <c r="D535" s="19"/>
      <c r="E535" s="19"/>
      <c r="F535" s="19"/>
    </row>
    <row r="536" spans="1:6" ht="15.75" customHeight="1" x14ac:dyDescent="0.3">
      <c r="A536" s="19"/>
      <c r="B536" s="19"/>
      <c r="C536" s="19"/>
      <c r="D536" s="19"/>
      <c r="E536" s="19"/>
      <c r="F536" s="19"/>
    </row>
    <row r="537" spans="1:6" ht="15.75" customHeight="1" x14ac:dyDescent="0.3">
      <c r="A537" s="19"/>
      <c r="B537" s="19"/>
      <c r="C537" s="19"/>
      <c r="D537" s="19"/>
      <c r="E537" s="19"/>
      <c r="F537" s="19"/>
    </row>
    <row r="538" spans="1:6" ht="15.75" customHeight="1" x14ac:dyDescent="0.3">
      <c r="A538" s="19"/>
      <c r="B538" s="19"/>
      <c r="C538" s="19"/>
      <c r="D538" s="19"/>
      <c r="E538" s="19"/>
      <c r="F538" s="19"/>
    </row>
    <row r="539" spans="1:6" ht="15.75" customHeight="1" x14ac:dyDescent="0.3">
      <c r="A539" s="19"/>
      <c r="B539" s="19"/>
      <c r="C539" s="19"/>
      <c r="D539" s="19"/>
      <c r="E539" s="19"/>
      <c r="F539" s="19"/>
    </row>
    <row r="540" spans="1:6" ht="15.75" customHeight="1" x14ac:dyDescent="0.3">
      <c r="A540" s="19"/>
      <c r="B540" s="19"/>
      <c r="C540" s="19"/>
      <c r="D540" s="19"/>
      <c r="E540" s="19"/>
      <c r="F540" s="19"/>
    </row>
    <row r="541" spans="1:6" ht="15.75" customHeight="1" x14ac:dyDescent="0.3">
      <c r="A541" s="19"/>
      <c r="B541" s="19"/>
      <c r="C541" s="19"/>
      <c r="D541" s="19"/>
      <c r="E541" s="19"/>
      <c r="F541" s="19"/>
    </row>
    <row r="542" spans="1:6" ht="15.75" customHeight="1" x14ac:dyDescent="0.3">
      <c r="A542" s="19"/>
      <c r="B542" s="19"/>
      <c r="C542" s="19"/>
      <c r="D542" s="19"/>
      <c r="E542" s="19"/>
      <c r="F542" s="19"/>
    </row>
    <row r="543" spans="1:6" ht="15.75" customHeight="1" x14ac:dyDescent="0.3">
      <c r="A543" s="19"/>
      <c r="B543" s="19"/>
      <c r="C543" s="19"/>
      <c r="D543" s="19"/>
      <c r="E543" s="19"/>
      <c r="F543" s="19"/>
    </row>
    <row r="544" spans="1:6" ht="15.75" customHeight="1" x14ac:dyDescent="0.3">
      <c r="A544" s="19"/>
      <c r="B544" s="19"/>
      <c r="C544" s="19"/>
      <c r="D544" s="19"/>
      <c r="E544" s="19"/>
      <c r="F544" s="19"/>
    </row>
    <row r="545" spans="1:6" ht="15.75" customHeight="1" x14ac:dyDescent="0.3">
      <c r="A545" s="19"/>
      <c r="B545" s="19"/>
      <c r="C545" s="19"/>
      <c r="D545" s="19"/>
      <c r="E545" s="19"/>
      <c r="F545" s="19"/>
    </row>
    <row r="546" spans="1:6" ht="15.75" customHeight="1" x14ac:dyDescent="0.3">
      <c r="A546" s="19"/>
      <c r="B546" s="19"/>
      <c r="C546" s="19"/>
      <c r="D546" s="19"/>
      <c r="E546" s="19"/>
      <c r="F546" s="19"/>
    </row>
    <row r="547" spans="1:6" ht="15.75" customHeight="1" x14ac:dyDescent="0.3">
      <c r="A547" s="19"/>
      <c r="B547" s="19"/>
      <c r="C547" s="19"/>
      <c r="D547" s="19"/>
      <c r="E547" s="19"/>
      <c r="F547" s="19"/>
    </row>
    <row r="548" spans="1:6" ht="15.75" customHeight="1" x14ac:dyDescent="0.3">
      <c r="A548" s="19"/>
      <c r="B548" s="19"/>
      <c r="C548" s="19"/>
      <c r="D548" s="19"/>
      <c r="E548" s="19"/>
      <c r="F548" s="19"/>
    </row>
    <row r="549" spans="1:6" ht="15.75" customHeight="1" x14ac:dyDescent="0.3">
      <c r="A549" s="19"/>
      <c r="B549" s="19"/>
      <c r="C549" s="19"/>
      <c r="D549" s="19"/>
      <c r="E549" s="19"/>
      <c r="F549" s="19"/>
    </row>
    <row r="550" spans="1:6" ht="15.75" customHeight="1" x14ac:dyDescent="0.3">
      <c r="A550" s="19"/>
      <c r="B550" s="19"/>
      <c r="C550" s="19"/>
      <c r="D550" s="19"/>
      <c r="E550" s="19"/>
      <c r="F550" s="19"/>
    </row>
    <row r="551" spans="1:6" ht="15.75" customHeight="1" x14ac:dyDescent="0.3">
      <c r="A551" s="19"/>
      <c r="B551" s="19"/>
      <c r="C551" s="19"/>
      <c r="D551" s="19"/>
      <c r="E551" s="19"/>
      <c r="F551" s="19"/>
    </row>
    <row r="552" spans="1:6" ht="15.75" customHeight="1" x14ac:dyDescent="0.3">
      <c r="A552" s="19"/>
      <c r="B552" s="19"/>
      <c r="C552" s="19"/>
      <c r="D552" s="19"/>
      <c r="E552" s="19"/>
      <c r="F552" s="19"/>
    </row>
    <row r="553" spans="1:6" ht="15.75" customHeight="1" x14ac:dyDescent="0.3">
      <c r="A553" s="19"/>
      <c r="B553" s="19"/>
      <c r="C553" s="19"/>
      <c r="D553" s="19"/>
      <c r="E553" s="19"/>
      <c r="F553" s="19"/>
    </row>
    <row r="554" spans="1:6" ht="15.75" customHeight="1" x14ac:dyDescent="0.3">
      <c r="A554" s="19"/>
      <c r="B554" s="19"/>
      <c r="C554" s="19"/>
      <c r="D554" s="19"/>
      <c r="E554" s="19"/>
      <c r="F554" s="19"/>
    </row>
    <row r="555" spans="1:6" ht="15.75" customHeight="1" x14ac:dyDescent="0.3">
      <c r="A555" s="19"/>
      <c r="B555" s="19"/>
      <c r="C555" s="19"/>
      <c r="D555" s="19"/>
      <c r="E555" s="19"/>
      <c r="F555" s="19"/>
    </row>
    <row r="556" spans="1:6" ht="15.75" customHeight="1" x14ac:dyDescent="0.3">
      <c r="A556" s="19"/>
      <c r="B556" s="19"/>
      <c r="C556" s="19"/>
      <c r="D556" s="19"/>
      <c r="E556" s="19"/>
      <c r="F556" s="19"/>
    </row>
    <row r="557" spans="1:6" ht="15.75" customHeight="1" x14ac:dyDescent="0.3">
      <c r="A557" s="19"/>
      <c r="B557" s="19"/>
      <c r="C557" s="19"/>
      <c r="D557" s="19"/>
      <c r="E557" s="19"/>
      <c r="F557" s="19"/>
    </row>
    <row r="558" spans="1:6" ht="15.75" customHeight="1" x14ac:dyDescent="0.3">
      <c r="A558" s="19"/>
      <c r="B558" s="19"/>
      <c r="C558" s="19"/>
      <c r="D558" s="19"/>
      <c r="E558" s="19"/>
      <c r="F558" s="19"/>
    </row>
    <row r="559" spans="1:6" ht="15.75" customHeight="1" x14ac:dyDescent="0.3">
      <c r="A559" s="19"/>
      <c r="B559" s="19"/>
      <c r="C559" s="19"/>
      <c r="D559" s="19"/>
      <c r="E559" s="19"/>
      <c r="F559" s="19"/>
    </row>
    <row r="560" spans="1:6" ht="15.75" customHeight="1" x14ac:dyDescent="0.3">
      <c r="A560" s="19"/>
      <c r="B560" s="19"/>
      <c r="C560" s="19"/>
      <c r="D560" s="19"/>
      <c r="E560" s="19"/>
      <c r="F560" s="19"/>
    </row>
    <row r="561" spans="1:6" ht="15.75" customHeight="1" x14ac:dyDescent="0.3">
      <c r="A561" s="19"/>
      <c r="B561" s="19"/>
      <c r="C561" s="19"/>
      <c r="D561" s="19"/>
      <c r="E561" s="19"/>
      <c r="F561" s="19"/>
    </row>
    <row r="562" spans="1:6" ht="15.75" customHeight="1" x14ac:dyDescent="0.3">
      <c r="A562" s="19"/>
      <c r="B562" s="19"/>
      <c r="C562" s="19"/>
      <c r="D562" s="19"/>
      <c r="E562" s="19"/>
      <c r="F562" s="19"/>
    </row>
    <row r="563" spans="1:6" ht="15.75" customHeight="1" x14ac:dyDescent="0.3">
      <c r="A563" s="19"/>
      <c r="B563" s="19"/>
      <c r="C563" s="19"/>
      <c r="D563" s="19"/>
      <c r="E563" s="19"/>
      <c r="F563" s="19"/>
    </row>
    <row r="564" spans="1:6" ht="15.75" customHeight="1" x14ac:dyDescent="0.3">
      <c r="A564" s="19"/>
      <c r="B564" s="19"/>
      <c r="C564" s="19"/>
      <c r="D564" s="19"/>
      <c r="E564" s="19"/>
      <c r="F564" s="19"/>
    </row>
    <row r="565" spans="1:6" ht="15.75" customHeight="1" x14ac:dyDescent="0.3">
      <c r="A565" s="19"/>
      <c r="B565" s="19"/>
      <c r="C565" s="19"/>
      <c r="D565" s="19"/>
      <c r="E565" s="19"/>
      <c r="F565" s="19"/>
    </row>
    <row r="566" spans="1:6" ht="15.75" customHeight="1" x14ac:dyDescent="0.3">
      <c r="A566" s="19"/>
      <c r="B566" s="19"/>
      <c r="C566" s="19"/>
      <c r="D566" s="19"/>
      <c r="E566" s="19"/>
      <c r="F566" s="19"/>
    </row>
    <row r="567" spans="1:6" ht="15.75" customHeight="1" x14ac:dyDescent="0.3">
      <c r="A567" s="19"/>
      <c r="B567" s="19"/>
      <c r="C567" s="19"/>
      <c r="D567" s="19"/>
      <c r="E567" s="19"/>
      <c r="F567" s="19"/>
    </row>
    <row r="568" spans="1:6" ht="15.75" customHeight="1" x14ac:dyDescent="0.3">
      <c r="A568" s="19"/>
      <c r="B568" s="19"/>
      <c r="C568" s="19"/>
      <c r="D568" s="19"/>
      <c r="E568" s="19"/>
      <c r="F568" s="19"/>
    </row>
    <row r="569" spans="1:6" ht="15.75" customHeight="1" x14ac:dyDescent="0.3">
      <c r="A569" s="19"/>
      <c r="B569" s="19"/>
      <c r="C569" s="19"/>
      <c r="D569" s="19"/>
      <c r="E569" s="19"/>
      <c r="F569" s="19"/>
    </row>
    <row r="570" spans="1:6" ht="15.75" customHeight="1" x14ac:dyDescent="0.3">
      <c r="A570" s="19"/>
      <c r="B570" s="19"/>
      <c r="C570" s="19"/>
      <c r="D570" s="19"/>
      <c r="E570" s="19"/>
      <c r="F570" s="19"/>
    </row>
    <row r="571" spans="1:6" ht="15.75" customHeight="1" x14ac:dyDescent="0.3">
      <c r="A571" s="19"/>
      <c r="B571" s="19"/>
      <c r="C571" s="19"/>
      <c r="D571" s="19"/>
      <c r="E571" s="19"/>
      <c r="F571" s="19"/>
    </row>
    <row r="572" spans="1:6" ht="15.75" customHeight="1" x14ac:dyDescent="0.3">
      <c r="A572" s="19"/>
      <c r="B572" s="19"/>
      <c r="C572" s="19"/>
      <c r="D572" s="19"/>
      <c r="E572" s="19"/>
      <c r="F572" s="19"/>
    </row>
    <row r="573" spans="1:6" ht="15.75" customHeight="1" x14ac:dyDescent="0.3">
      <c r="A573" s="19"/>
      <c r="B573" s="19"/>
      <c r="C573" s="19"/>
      <c r="D573" s="19"/>
      <c r="E573" s="19"/>
      <c r="F573" s="19"/>
    </row>
    <row r="574" spans="1:6" ht="15.75" customHeight="1" x14ac:dyDescent="0.3">
      <c r="A574" s="19"/>
      <c r="B574" s="19"/>
      <c r="C574" s="19"/>
      <c r="D574" s="19"/>
      <c r="E574" s="19"/>
      <c r="F574" s="19"/>
    </row>
    <row r="575" spans="1:6" ht="15.75" customHeight="1" x14ac:dyDescent="0.3">
      <c r="A575" s="19"/>
      <c r="B575" s="19"/>
      <c r="C575" s="19"/>
      <c r="D575" s="19"/>
      <c r="E575" s="19"/>
      <c r="F575" s="19"/>
    </row>
    <row r="576" spans="1:6" ht="15.75" customHeight="1" x14ac:dyDescent="0.3">
      <c r="A576" s="19"/>
      <c r="B576" s="19"/>
      <c r="C576" s="19"/>
      <c r="D576" s="19"/>
      <c r="E576" s="19"/>
      <c r="F576" s="19"/>
    </row>
    <row r="577" spans="1:6" ht="15.75" customHeight="1" x14ac:dyDescent="0.3">
      <c r="A577" s="19"/>
      <c r="B577" s="19"/>
      <c r="C577" s="19"/>
      <c r="D577" s="19"/>
      <c r="E577" s="19"/>
      <c r="F577" s="19"/>
    </row>
    <row r="578" spans="1:6" ht="15.75" customHeight="1" x14ac:dyDescent="0.3">
      <c r="A578" s="19"/>
      <c r="B578" s="19"/>
      <c r="C578" s="19"/>
      <c r="D578" s="19"/>
      <c r="E578" s="19"/>
      <c r="F578" s="19"/>
    </row>
    <row r="579" spans="1:6" ht="15.75" customHeight="1" x14ac:dyDescent="0.3">
      <c r="A579" s="19"/>
      <c r="B579" s="19"/>
      <c r="C579" s="19"/>
      <c r="D579" s="19"/>
      <c r="E579" s="19"/>
      <c r="F579" s="19"/>
    </row>
    <row r="580" spans="1:6" ht="15.75" customHeight="1" x14ac:dyDescent="0.3">
      <c r="A580" s="19"/>
      <c r="B580" s="19"/>
      <c r="C580" s="19"/>
      <c r="D580" s="19"/>
      <c r="E580" s="19"/>
      <c r="F580" s="19"/>
    </row>
    <row r="581" spans="1:6" ht="15.75" customHeight="1" x14ac:dyDescent="0.3">
      <c r="A581" s="19"/>
      <c r="B581" s="19"/>
      <c r="C581" s="19"/>
      <c r="D581" s="19"/>
      <c r="E581" s="19"/>
      <c r="F581" s="19"/>
    </row>
    <row r="582" spans="1:6" ht="15.75" customHeight="1" x14ac:dyDescent="0.3">
      <c r="A582" s="19"/>
      <c r="B582" s="19"/>
      <c r="C582" s="19"/>
      <c r="D582" s="19"/>
      <c r="E582" s="19"/>
      <c r="F582" s="19"/>
    </row>
    <row r="583" spans="1:6" ht="15.75" customHeight="1" x14ac:dyDescent="0.3">
      <c r="A583" s="19"/>
      <c r="B583" s="19"/>
      <c r="C583" s="19"/>
      <c r="D583" s="19"/>
      <c r="E583" s="19"/>
      <c r="F583" s="19"/>
    </row>
    <row r="584" spans="1:6" ht="15.75" customHeight="1" x14ac:dyDescent="0.3">
      <c r="A584" s="19"/>
      <c r="B584" s="19"/>
      <c r="C584" s="19"/>
      <c r="D584" s="19"/>
      <c r="E584" s="19"/>
      <c r="F584" s="19"/>
    </row>
    <row r="585" spans="1:6" ht="15.75" customHeight="1" x14ac:dyDescent="0.3">
      <c r="A585" s="19"/>
      <c r="B585" s="19"/>
      <c r="C585" s="19"/>
      <c r="D585" s="19"/>
      <c r="E585" s="19"/>
      <c r="F585" s="19"/>
    </row>
    <row r="586" spans="1:6" ht="15.75" customHeight="1" x14ac:dyDescent="0.3">
      <c r="A586" s="19"/>
      <c r="B586" s="19"/>
      <c r="C586" s="19"/>
      <c r="D586" s="19"/>
      <c r="E586" s="19"/>
      <c r="F586" s="19"/>
    </row>
    <row r="587" spans="1:6" ht="15.75" customHeight="1" x14ac:dyDescent="0.3">
      <c r="A587" s="19"/>
      <c r="B587" s="19"/>
      <c r="C587" s="19"/>
      <c r="D587" s="19"/>
      <c r="E587" s="19"/>
      <c r="F587" s="19"/>
    </row>
    <row r="588" spans="1:6" ht="15.75" customHeight="1" x14ac:dyDescent="0.3">
      <c r="A588" s="19"/>
      <c r="B588" s="19"/>
      <c r="C588" s="19"/>
      <c r="D588" s="19"/>
      <c r="E588" s="19"/>
      <c r="F588" s="19"/>
    </row>
    <row r="589" spans="1:6" ht="15.75" customHeight="1" x14ac:dyDescent="0.3">
      <c r="A589" s="19"/>
      <c r="B589" s="19"/>
      <c r="C589" s="19"/>
      <c r="D589" s="19"/>
      <c r="E589" s="19"/>
      <c r="F589" s="19"/>
    </row>
    <row r="590" spans="1:6" ht="15.75" customHeight="1" x14ac:dyDescent="0.3">
      <c r="A590" s="19"/>
      <c r="B590" s="19"/>
      <c r="C590" s="19"/>
      <c r="D590" s="19"/>
      <c r="E590" s="19"/>
      <c r="F590" s="19"/>
    </row>
    <row r="591" spans="1:6" ht="15.75" customHeight="1" x14ac:dyDescent="0.3">
      <c r="A591" s="19"/>
      <c r="B591" s="19"/>
      <c r="C591" s="19"/>
      <c r="D591" s="19"/>
      <c r="E591" s="19"/>
      <c r="F591" s="19"/>
    </row>
    <row r="592" spans="1:6" ht="15.75" customHeight="1" x14ac:dyDescent="0.3">
      <c r="A592" s="19"/>
      <c r="B592" s="19"/>
      <c r="C592" s="19"/>
      <c r="D592" s="19"/>
      <c r="E592" s="19"/>
      <c r="F592" s="19"/>
    </row>
    <row r="593" spans="1:6" ht="15.75" customHeight="1" x14ac:dyDescent="0.3">
      <c r="A593" s="19"/>
      <c r="B593" s="19"/>
      <c r="C593" s="19"/>
      <c r="D593" s="19"/>
      <c r="E593" s="19"/>
      <c r="F593" s="19"/>
    </row>
    <row r="594" spans="1:6" ht="15.75" customHeight="1" x14ac:dyDescent="0.3">
      <c r="A594" s="19"/>
      <c r="B594" s="19"/>
      <c r="C594" s="19"/>
      <c r="D594" s="19"/>
      <c r="E594" s="19"/>
      <c r="F594" s="19"/>
    </row>
    <row r="595" spans="1:6" ht="15.75" customHeight="1" x14ac:dyDescent="0.3">
      <c r="A595" s="19"/>
      <c r="B595" s="19"/>
      <c r="C595" s="19"/>
      <c r="D595" s="19"/>
      <c r="E595" s="19"/>
      <c r="F595" s="19"/>
    </row>
    <row r="596" spans="1:6" ht="15.75" customHeight="1" x14ac:dyDescent="0.3">
      <c r="A596" s="19"/>
      <c r="B596" s="19"/>
      <c r="C596" s="19"/>
      <c r="D596" s="19"/>
      <c r="E596" s="19"/>
      <c r="F596" s="19"/>
    </row>
    <row r="597" spans="1:6" ht="15.75" customHeight="1" x14ac:dyDescent="0.3">
      <c r="A597" s="19"/>
      <c r="B597" s="19"/>
      <c r="C597" s="19"/>
      <c r="D597" s="19"/>
      <c r="E597" s="19"/>
      <c r="F597" s="19"/>
    </row>
    <row r="598" spans="1:6" ht="15.75" customHeight="1" x14ac:dyDescent="0.3">
      <c r="A598" s="19"/>
      <c r="B598" s="19"/>
      <c r="C598" s="19"/>
      <c r="D598" s="19"/>
      <c r="E598" s="19"/>
      <c r="F598" s="19"/>
    </row>
    <row r="599" spans="1:6" ht="15.75" customHeight="1" x14ac:dyDescent="0.3">
      <c r="A599" s="19"/>
      <c r="B599" s="19"/>
      <c r="C599" s="19"/>
      <c r="D599" s="19"/>
      <c r="E599" s="19"/>
      <c r="F599" s="19"/>
    </row>
    <row r="600" spans="1:6" ht="15.75" customHeight="1" x14ac:dyDescent="0.3">
      <c r="A600" s="19"/>
      <c r="B600" s="19"/>
      <c r="C600" s="19"/>
      <c r="D600" s="19"/>
      <c r="E600" s="19"/>
      <c r="F600" s="19"/>
    </row>
    <row r="601" spans="1:6" ht="15.75" customHeight="1" x14ac:dyDescent="0.3">
      <c r="A601" s="19"/>
      <c r="B601" s="19"/>
      <c r="C601" s="19"/>
      <c r="D601" s="19"/>
      <c r="E601" s="19"/>
      <c r="F601" s="19"/>
    </row>
    <row r="602" spans="1:6" ht="15.75" customHeight="1" x14ac:dyDescent="0.3">
      <c r="A602" s="19"/>
      <c r="B602" s="19"/>
      <c r="C602" s="19"/>
      <c r="D602" s="19"/>
      <c r="E602" s="19"/>
      <c r="F602" s="19"/>
    </row>
    <row r="603" spans="1:6" ht="15.75" customHeight="1" x14ac:dyDescent="0.3">
      <c r="A603" s="19"/>
      <c r="B603" s="19"/>
      <c r="C603" s="19"/>
      <c r="D603" s="19"/>
      <c r="E603" s="19"/>
      <c r="F603" s="19"/>
    </row>
    <row r="604" spans="1:6" ht="15.75" customHeight="1" x14ac:dyDescent="0.3">
      <c r="A604" s="19"/>
      <c r="B604" s="19"/>
      <c r="C604" s="19"/>
      <c r="D604" s="19"/>
      <c r="E604" s="19"/>
      <c r="F604" s="19"/>
    </row>
    <row r="605" spans="1:6" ht="15.75" customHeight="1" x14ac:dyDescent="0.3">
      <c r="A605" s="19"/>
      <c r="B605" s="19"/>
      <c r="C605" s="19"/>
      <c r="D605" s="19"/>
      <c r="E605" s="19"/>
      <c r="F605" s="19"/>
    </row>
    <row r="606" spans="1:6" ht="15.75" customHeight="1" x14ac:dyDescent="0.3">
      <c r="A606" s="19"/>
      <c r="B606" s="19"/>
      <c r="C606" s="19"/>
      <c r="D606" s="19"/>
      <c r="E606" s="19"/>
      <c r="F606" s="19"/>
    </row>
    <row r="607" spans="1:6" ht="15.75" customHeight="1" x14ac:dyDescent="0.3">
      <c r="A607" s="19"/>
      <c r="B607" s="19"/>
      <c r="C607" s="19"/>
      <c r="D607" s="19"/>
      <c r="E607" s="19"/>
      <c r="F607" s="19"/>
    </row>
    <row r="608" spans="1:6" ht="15.75" customHeight="1" x14ac:dyDescent="0.3">
      <c r="A608" s="19"/>
      <c r="B608" s="19"/>
      <c r="C608" s="19"/>
      <c r="D608" s="19"/>
      <c r="E608" s="19"/>
      <c r="F608" s="19"/>
    </row>
    <row r="609" spans="1:6" ht="15.75" customHeight="1" x14ac:dyDescent="0.3">
      <c r="A609" s="19"/>
      <c r="B609" s="19"/>
      <c r="C609" s="19"/>
      <c r="D609" s="19"/>
      <c r="E609" s="19"/>
      <c r="F609" s="19"/>
    </row>
    <row r="610" spans="1:6" ht="15.75" customHeight="1" x14ac:dyDescent="0.3">
      <c r="A610" s="19"/>
      <c r="B610" s="19"/>
      <c r="C610" s="19"/>
      <c r="D610" s="19"/>
      <c r="E610" s="19"/>
      <c r="F610" s="19"/>
    </row>
    <row r="611" spans="1:6" ht="15.75" customHeight="1" x14ac:dyDescent="0.3">
      <c r="A611" s="19"/>
      <c r="B611" s="19"/>
      <c r="C611" s="19"/>
      <c r="D611" s="19"/>
      <c r="E611" s="19"/>
      <c r="F611" s="19"/>
    </row>
    <row r="612" spans="1:6" ht="15.75" customHeight="1" x14ac:dyDescent="0.3">
      <c r="A612" s="19"/>
      <c r="B612" s="19"/>
      <c r="C612" s="19"/>
      <c r="D612" s="19"/>
      <c r="E612" s="19"/>
      <c r="F612" s="19"/>
    </row>
    <row r="613" spans="1:6" ht="15.75" customHeight="1" x14ac:dyDescent="0.3">
      <c r="A613" s="19"/>
      <c r="B613" s="19"/>
      <c r="C613" s="19"/>
      <c r="D613" s="19"/>
      <c r="E613" s="19"/>
      <c r="F613" s="19"/>
    </row>
    <row r="614" spans="1:6" ht="15.75" customHeight="1" x14ac:dyDescent="0.3">
      <c r="A614" s="19"/>
      <c r="B614" s="19"/>
      <c r="C614" s="19"/>
      <c r="D614" s="19"/>
      <c r="E614" s="19"/>
      <c r="F614" s="19"/>
    </row>
    <row r="615" spans="1:6" ht="15.75" customHeight="1" x14ac:dyDescent="0.3">
      <c r="A615" s="19"/>
      <c r="B615" s="19"/>
      <c r="C615" s="19"/>
      <c r="D615" s="19"/>
      <c r="E615" s="19"/>
      <c r="F615" s="19"/>
    </row>
    <row r="616" spans="1:6" ht="15.75" customHeight="1" x14ac:dyDescent="0.3">
      <c r="A616" s="19"/>
      <c r="B616" s="19"/>
      <c r="C616" s="19"/>
      <c r="D616" s="19"/>
      <c r="E616" s="19"/>
      <c r="F616" s="19"/>
    </row>
    <row r="617" spans="1:6" ht="15.75" customHeight="1" x14ac:dyDescent="0.3">
      <c r="A617" s="19"/>
      <c r="B617" s="19"/>
      <c r="C617" s="19"/>
      <c r="D617" s="19"/>
      <c r="E617" s="19"/>
      <c r="F617" s="19"/>
    </row>
    <row r="618" spans="1:6" ht="15.75" customHeight="1" x14ac:dyDescent="0.3">
      <c r="A618" s="19"/>
      <c r="B618" s="19"/>
      <c r="C618" s="19"/>
      <c r="D618" s="19"/>
      <c r="E618" s="19"/>
      <c r="F618" s="19"/>
    </row>
    <row r="619" spans="1:6" ht="15.75" customHeight="1" x14ac:dyDescent="0.3">
      <c r="A619" s="19"/>
      <c r="B619" s="19"/>
      <c r="C619" s="19"/>
      <c r="D619" s="19"/>
      <c r="E619" s="19"/>
      <c r="F619" s="19"/>
    </row>
    <row r="620" spans="1:6" ht="15.75" customHeight="1" x14ac:dyDescent="0.3">
      <c r="A620" s="19"/>
      <c r="B620" s="19"/>
      <c r="C620" s="19"/>
      <c r="D620" s="19"/>
      <c r="E620" s="19"/>
      <c r="F620" s="19"/>
    </row>
    <row r="621" spans="1:6" ht="15.75" customHeight="1" x14ac:dyDescent="0.3">
      <c r="A621" s="19"/>
      <c r="B621" s="19"/>
      <c r="C621" s="19"/>
      <c r="D621" s="19"/>
      <c r="E621" s="19"/>
      <c r="F621" s="19"/>
    </row>
    <row r="622" spans="1:6" ht="15.75" customHeight="1" x14ac:dyDescent="0.3">
      <c r="A622" s="19"/>
      <c r="B622" s="19"/>
      <c r="C622" s="19"/>
      <c r="D622" s="19"/>
      <c r="E622" s="19"/>
      <c r="F622" s="19"/>
    </row>
    <row r="623" spans="1:6" ht="15.75" customHeight="1" x14ac:dyDescent="0.3">
      <c r="A623" s="19"/>
      <c r="B623" s="19"/>
      <c r="C623" s="19"/>
      <c r="D623" s="19"/>
      <c r="E623" s="19"/>
      <c r="F623" s="19"/>
    </row>
    <row r="624" spans="1:6" ht="15.75" customHeight="1" x14ac:dyDescent="0.3">
      <c r="A624" s="19"/>
      <c r="B624" s="19"/>
      <c r="C624" s="19"/>
      <c r="D624" s="19"/>
      <c r="E624" s="19"/>
      <c r="F624" s="19"/>
    </row>
    <row r="625" spans="1:6" ht="15.75" customHeight="1" x14ac:dyDescent="0.3">
      <c r="A625" s="19"/>
      <c r="B625" s="19"/>
      <c r="C625" s="19"/>
      <c r="D625" s="19"/>
      <c r="E625" s="19"/>
      <c r="F625" s="19"/>
    </row>
    <row r="626" spans="1:6" ht="15.75" customHeight="1" x14ac:dyDescent="0.3">
      <c r="A626" s="19"/>
      <c r="B626" s="19"/>
      <c r="C626" s="19"/>
      <c r="D626" s="19"/>
      <c r="E626" s="19"/>
      <c r="F626" s="19"/>
    </row>
    <row r="627" spans="1:6" ht="15.75" customHeight="1" x14ac:dyDescent="0.3">
      <c r="A627" s="19"/>
      <c r="B627" s="19"/>
      <c r="C627" s="19"/>
      <c r="D627" s="19"/>
      <c r="E627" s="19"/>
      <c r="F627" s="19"/>
    </row>
    <row r="628" spans="1:6" ht="15.75" customHeight="1" x14ac:dyDescent="0.3">
      <c r="A628" s="19"/>
      <c r="B628" s="19"/>
      <c r="C628" s="19"/>
      <c r="D628" s="19"/>
      <c r="E628" s="19"/>
      <c r="F628" s="19"/>
    </row>
    <row r="629" spans="1:6" ht="15.75" customHeight="1" x14ac:dyDescent="0.3">
      <c r="A629" s="19"/>
      <c r="B629" s="19"/>
      <c r="C629" s="19"/>
      <c r="D629" s="19"/>
      <c r="E629" s="19"/>
      <c r="F629" s="19"/>
    </row>
    <row r="630" spans="1:6" ht="15.75" customHeight="1" x14ac:dyDescent="0.3">
      <c r="A630" s="19"/>
      <c r="B630" s="19"/>
      <c r="C630" s="19"/>
      <c r="D630" s="19"/>
      <c r="E630" s="19"/>
      <c r="F630" s="19"/>
    </row>
    <row r="631" spans="1:6" ht="15.75" customHeight="1" x14ac:dyDescent="0.3">
      <c r="A631" s="19"/>
      <c r="B631" s="19"/>
      <c r="C631" s="19"/>
      <c r="D631" s="19"/>
      <c r="E631" s="19"/>
      <c r="F631" s="19"/>
    </row>
    <row r="632" spans="1:6" ht="15.75" customHeight="1" x14ac:dyDescent="0.3">
      <c r="A632" s="19"/>
      <c r="B632" s="19"/>
      <c r="C632" s="19"/>
      <c r="D632" s="19"/>
      <c r="E632" s="19"/>
      <c r="F632" s="19"/>
    </row>
    <row r="633" spans="1:6" ht="15.75" customHeight="1" x14ac:dyDescent="0.3">
      <c r="A633" s="19"/>
      <c r="B633" s="19"/>
      <c r="C633" s="19"/>
      <c r="D633" s="19"/>
      <c r="E633" s="19"/>
      <c r="F633" s="19"/>
    </row>
    <row r="634" spans="1:6" ht="15.75" customHeight="1" x14ac:dyDescent="0.3">
      <c r="A634" s="19"/>
      <c r="B634" s="19"/>
      <c r="C634" s="19"/>
      <c r="D634" s="19"/>
      <c r="E634" s="19"/>
      <c r="F634" s="19"/>
    </row>
    <row r="635" spans="1:6" ht="15.75" customHeight="1" x14ac:dyDescent="0.3">
      <c r="A635" s="19"/>
      <c r="B635" s="19"/>
      <c r="C635" s="19"/>
      <c r="D635" s="19"/>
      <c r="E635" s="19"/>
      <c r="F635" s="19"/>
    </row>
    <row r="636" spans="1:6" ht="15.75" customHeight="1" x14ac:dyDescent="0.3">
      <c r="A636" s="19"/>
      <c r="B636" s="19"/>
      <c r="C636" s="19"/>
      <c r="D636" s="19"/>
      <c r="E636" s="19"/>
      <c r="F636" s="19"/>
    </row>
    <row r="637" spans="1:6" ht="15.75" customHeight="1" x14ac:dyDescent="0.3">
      <c r="A637" s="19"/>
      <c r="B637" s="19"/>
      <c r="C637" s="19"/>
      <c r="D637" s="19"/>
      <c r="E637" s="19"/>
      <c r="F637" s="19"/>
    </row>
    <row r="638" spans="1:6" ht="15.75" customHeight="1" x14ac:dyDescent="0.3">
      <c r="A638" s="19"/>
      <c r="B638" s="19"/>
      <c r="C638" s="19"/>
      <c r="D638" s="19"/>
      <c r="E638" s="19"/>
      <c r="F638" s="19"/>
    </row>
    <row r="639" spans="1:6" ht="15.75" customHeight="1" x14ac:dyDescent="0.3">
      <c r="A639" s="19"/>
      <c r="B639" s="19"/>
      <c r="C639" s="19"/>
      <c r="D639" s="19"/>
      <c r="E639" s="19"/>
      <c r="F639" s="19"/>
    </row>
    <row r="640" spans="1:6" ht="15.75" customHeight="1" x14ac:dyDescent="0.3">
      <c r="A640" s="19"/>
      <c r="B640" s="19"/>
      <c r="C640" s="19"/>
      <c r="D640" s="19"/>
      <c r="E640" s="19"/>
      <c r="F640" s="19"/>
    </row>
    <row r="641" spans="1:6" ht="15.75" customHeight="1" x14ac:dyDescent="0.3">
      <c r="A641" s="19"/>
      <c r="B641" s="19"/>
      <c r="C641" s="19"/>
      <c r="D641" s="19"/>
      <c r="E641" s="19"/>
      <c r="F641" s="19"/>
    </row>
    <row r="642" spans="1:6" ht="15.75" customHeight="1" x14ac:dyDescent="0.3">
      <c r="A642" s="19"/>
      <c r="B642" s="19"/>
      <c r="C642" s="19"/>
      <c r="D642" s="19"/>
      <c r="E642" s="19"/>
      <c r="F642" s="19"/>
    </row>
    <row r="643" spans="1:6" ht="15.75" customHeight="1" x14ac:dyDescent="0.3">
      <c r="A643" s="19"/>
      <c r="B643" s="19"/>
      <c r="C643" s="19"/>
      <c r="D643" s="19"/>
      <c r="E643" s="19"/>
      <c r="F643" s="19"/>
    </row>
    <row r="644" spans="1:6" ht="15.75" customHeight="1" x14ac:dyDescent="0.3">
      <c r="A644" s="19"/>
      <c r="B644" s="19"/>
      <c r="C644" s="19"/>
      <c r="D644" s="19"/>
      <c r="E644" s="19"/>
      <c r="F644" s="19"/>
    </row>
    <row r="645" spans="1:6" ht="15.75" customHeight="1" x14ac:dyDescent="0.3">
      <c r="A645" s="19"/>
      <c r="B645" s="19"/>
      <c r="C645" s="19"/>
      <c r="D645" s="19"/>
      <c r="E645" s="19"/>
      <c r="F645" s="19"/>
    </row>
    <row r="646" spans="1:6" ht="15.75" customHeight="1" x14ac:dyDescent="0.3">
      <c r="A646" s="19"/>
      <c r="B646" s="19"/>
      <c r="C646" s="19"/>
      <c r="D646" s="19"/>
      <c r="E646" s="19"/>
      <c r="F646" s="19"/>
    </row>
    <row r="647" spans="1:6" ht="15.75" customHeight="1" x14ac:dyDescent="0.3">
      <c r="A647" s="19"/>
      <c r="B647" s="19"/>
      <c r="C647" s="19"/>
      <c r="D647" s="19"/>
      <c r="E647" s="19"/>
      <c r="F647" s="19"/>
    </row>
    <row r="648" spans="1:6" ht="15.75" customHeight="1" x14ac:dyDescent="0.3">
      <c r="A648" s="19"/>
      <c r="B648" s="19"/>
      <c r="C648" s="19"/>
      <c r="D648" s="19"/>
      <c r="E648" s="19"/>
      <c r="F648" s="19"/>
    </row>
    <row r="649" spans="1:6" ht="15.75" customHeight="1" x14ac:dyDescent="0.3">
      <c r="A649" s="19"/>
      <c r="B649" s="19"/>
      <c r="C649" s="19"/>
      <c r="D649" s="19"/>
      <c r="E649" s="19"/>
      <c r="F649" s="19"/>
    </row>
    <row r="650" spans="1:6" ht="15.75" customHeight="1" x14ac:dyDescent="0.3">
      <c r="A650" s="19"/>
      <c r="B650" s="19"/>
      <c r="C650" s="19"/>
      <c r="D650" s="19"/>
      <c r="E650" s="19"/>
      <c r="F650" s="19"/>
    </row>
    <row r="651" spans="1:6" ht="15.75" customHeight="1" x14ac:dyDescent="0.3">
      <c r="A651" s="19"/>
      <c r="B651" s="19"/>
      <c r="C651" s="19"/>
      <c r="D651" s="19"/>
      <c r="E651" s="19"/>
      <c r="F651" s="19"/>
    </row>
    <row r="652" spans="1:6" ht="15.75" customHeight="1" x14ac:dyDescent="0.3">
      <c r="A652" s="19"/>
      <c r="B652" s="19"/>
      <c r="C652" s="19"/>
      <c r="D652" s="19"/>
      <c r="E652" s="19"/>
      <c r="F652" s="19"/>
    </row>
    <row r="653" spans="1:6" ht="15.75" customHeight="1" x14ac:dyDescent="0.3">
      <c r="A653" s="19"/>
      <c r="B653" s="19"/>
      <c r="C653" s="19"/>
      <c r="D653" s="19"/>
      <c r="E653" s="19"/>
      <c r="F653" s="19"/>
    </row>
    <row r="654" spans="1:6" ht="15.75" customHeight="1" x14ac:dyDescent="0.3">
      <c r="A654" s="19"/>
      <c r="B654" s="19"/>
      <c r="C654" s="19"/>
      <c r="D654" s="19"/>
      <c r="E654" s="19"/>
      <c r="F654" s="19"/>
    </row>
    <row r="655" spans="1:6" ht="15.75" customHeight="1" x14ac:dyDescent="0.3">
      <c r="A655" s="19"/>
      <c r="B655" s="19"/>
      <c r="C655" s="19"/>
      <c r="D655" s="19"/>
      <c r="E655" s="19"/>
      <c r="F655" s="19"/>
    </row>
    <row r="656" spans="1:6" ht="15.75" customHeight="1" x14ac:dyDescent="0.3">
      <c r="A656" s="19"/>
      <c r="B656" s="19"/>
      <c r="C656" s="19"/>
      <c r="D656" s="19"/>
      <c r="E656" s="19"/>
      <c r="F656" s="19"/>
    </row>
    <row r="657" spans="1:6" ht="15.75" customHeight="1" x14ac:dyDescent="0.3">
      <c r="A657" s="19"/>
      <c r="B657" s="19"/>
      <c r="C657" s="19"/>
      <c r="D657" s="19"/>
      <c r="E657" s="19"/>
      <c r="F657" s="19"/>
    </row>
    <row r="658" spans="1:6" ht="15.75" customHeight="1" x14ac:dyDescent="0.3">
      <c r="A658" s="19"/>
      <c r="B658" s="19"/>
      <c r="C658" s="19"/>
      <c r="D658" s="19"/>
      <c r="E658" s="19"/>
      <c r="F658" s="19"/>
    </row>
    <row r="659" spans="1:6" ht="15.75" customHeight="1" x14ac:dyDescent="0.3">
      <c r="A659" s="19"/>
      <c r="B659" s="19"/>
      <c r="C659" s="19"/>
      <c r="D659" s="19"/>
      <c r="E659" s="19"/>
      <c r="F659" s="19"/>
    </row>
    <row r="660" spans="1:6" ht="15.75" customHeight="1" x14ac:dyDescent="0.3">
      <c r="A660" s="19"/>
      <c r="B660" s="19"/>
      <c r="C660" s="19"/>
      <c r="D660" s="19"/>
      <c r="E660" s="19"/>
      <c r="F660" s="19"/>
    </row>
    <row r="661" spans="1:6" ht="15.75" customHeight="1" x14ac:dyDescent="0.3">
      <c r="A661" s="19"/>
      <c r="B661" s="19"/>
      <c r="C661" s="19"/>
      <c r="D661" s="19"/>
      <c r="E661" s="19"/>
      <c r="F661" s="19"/>
    </row>
    <row r="662" spans="1:6" ht="15.75" customHeight="1" x14ac:dyDescent="0.3">
      <c r="A662" s="19"/>
      <c r="B662" s="19"/>
      <c r="C662" s="19"/>
      <c r="D662" s="19"/>
      <c r="E662" s="19"/>
      <c r="F662" s="19"/>
    </row>
    <row r="663" spans="1:6" ht="15.75" customHeight="1" x14ac:dyDescent="0.3">
      <c r="A663" s="19"/>
      <c r="B663" s="19"/>
      <c r="C663" s="19"/>
      <c r="D663" s="19"/>
      <c r="E663" s="19"/>
      <c r="F663" s="19"/>
    </row>
    <row r="664" spans="1:6" ht="15.75" customHeight="1" x14ac:dyDescent="0.3">
      <c r="A664" s="19"/>
      <c r="B664" s="19"/>
      <c r="C664" s="19"/>
      <c r="D664" s="19"/>
      <c r="E664" s="19"/>
      <c r="F664" s="19"/>
    </row>
    <row r="665" spans="1:6" ht="15.75" customHeight="1" x14ac:dyDescent="0.3">
      <c r="A665" s="19"/>
      <c r="B665" s="19"/>
      <c r="C665" s="19"/>
      <c r="D665" s="19"/>
      <c r="E665" s="19"/>
      <c r="F665" s="19"/>
    </row>
    <row r="666" spans="1:6" ht="15.75" customHeight="1" x14ac:dyDescent="0.3">
      <c r="A666" s="19"/>
      <c r="B666" s="19"/>
      <c r="C666" s="19"/>
      <c r="D666" s="19"/>
      <c r="E666" s="19"/>
      <c r="F666" s="19"/>
    </row>
    <row r="667" spans="1:6" ht="15.75" customHeight="1" x14ac:dyDescent="0.3">
      <c r="A667" s="19"/>
      <c r="B667" s="19"/>
      <c r="C667" s="19"/>
      <c r="D667" s="19"/>
      <c r="E667" s="19"/>
      <c r="F667" s="19"/>
    </row>
    <row r="668" spans="1:6" ht="15.75" customHeight="1" x14ac:dyDescent="0.3">
      <c r="A668" s="19"/>
      <c r="B668" s="19"/>
      <c r="C668" s="19"/>
      <c r="D668" s="19"/>
      <c r="E668" s="19"/>
      <c r="F668" s="19"/>
    </row>
    <row r="669" spans="1:6" ht="15.75" customHeight="1" x14ac:dyDescent="0.3">
      <c r="A669" s="19"/>
      <c r="B669" s="19"/>
      <c r="C669" s="19"/>
      <c r="D669" s="19"/>
      <c r="E669" s="19"/>
      <c r="F669" s="19"/>
    </row>
    <row r="670" spans="1:6" ht="15.75" customHeight="1" x14ac:dyDescent="0.3">
      <c r="A670" s="19"/>
      <c r="B670" s="19"/>
      <c r="C670" s="19"/>
      <c r="D670" s="19"/>
      <c r="E670" s="19"/>
      <c r="F670" s="19"/>
    </row>
    <row r="671" spans="1:6" ht="15.75" customHeight="1" x14ac:dyDescent="0.3">
      <c r="A671" s="19"/>
      <c r="B671" s="19"/>
      <c r="C671" s="19"/>
      <c r="D671" s="19"/>
      <c r="E671" s="19"/>
      <c r="F671" s="19"/>
    </row>
    <row r="672" spans="1:6" ht="15.75" customHeight="1" x14ac:dyDescent="0.3">
      <c r="A672" s="19"/>
      <c r="B672" s="19"/>
      <c r="C672" s="19"/>
      <c r="D672" s="19"/>
      <c r="E672" s="19"/>
      <c r="F672" s="19"/>
    </row>
    <row r="673" spans="1:6" ht="15.75" customHeight="1" x14ac:dyDescent="0.3">
      <c r="A673" s="19"/>
      <c r="B673" s="19"/>
      <c r="C673" s="19"/>
      <c r="D673" s="19"/>
      <c r="E673" s="19"/>
      <c r="F673" s="19"/>
    </row>
    <row r="674" spans="1:6" ht="15.75" customHeight="1" x14ac:dyDescent="0.3">
      <c r="A674" s="19"/>
      <c r="B674" s="19"/>
      <c r="C674" s="19"/>
      <c r="D674" s="19"/>
      <c r="E674" s="19"/>
      <c r="F674" s="19"/>
    </row>
    <row r="675" spans="1:6" ht="15.75" customHeight="1" x14ac:dyDescent="0.3">
      <c r="A675" s="19"/>
      <c r="B675" s="19"/>
      <c r="C675" s="19"/>
      <c r="D675" s="19"/>
      <c r="E675" s="19"/>
      <c r="F675" s="19"/>
    </row>
    <row r="676" spans="1:6" ht="15.75" customHeight="1" x14ac:dyDescent="0.3">
      <c r="A676" s="19"/>
      <c r="B676" s="19"/>
      <c r="C676" s="19"/>
      <c r="D676" s="19"/>
      <c r="E676" s="19"/>
      <c r="F676" s="19"/>
    </row>
    <row r="677" spans="1:6" ht="15.75" customHeight="1" x14ac:dyDescent="0.3">
      <c r="A677" s="19"/>
      <c r="B677" s="19"/>
      <c r="C677" s="19"/>
      <c r="D677" s="19"/>
      <c r="E677" s="19"/>
      <c r="F677" s="19"/>
    </row>
    <row r="678" spans="1:6" ht="15.75" customHeight="1" x14ac:dyDescent="0.3">
      <c r="A678" s="19"/>
      <c r="B678" s="19"/>
      <c r="C678" s="19"/>
      <c r="D678" s="19"/>
      <c r="E678" s="19"/>
      <c r="F678" s="19"/>
    </row>
    <row r="679" spans="1:6" ht="15.75" customHeight="1" x14ac:dyDescent="0.3">
      <c r="A679" s="19"/>
      <c r="B679" s="19"/>
      <c r="C679" s="19"/>
      <c r="D679" s="19"/>
      <c r="E679" s="19"/>
      <c r="F679" s="19"/>
    </row>
    <row r="680" spans="1:6" ht="15.75" customHeight="1" x14ac:dyDescent="0.3">
      <c r="A680" s="19"/>
      <c r="B680" s="19"/>
      <c r="C680" s="19"/>
      <c r="D680" s="19"/>
      <c r="E680" s="19"/>
      <c r="F680" s="19"/>
    </row>
    <row r="681" spans="1:6" ht="15.75" customHeight="1" x14ac:dyDescent="0.3">
      <c r="A681" s="19"/>
      <c r="B681" s="19"/>
      <c r="C681" s="19"/>
      <c r="D681" s="19"/>
      <c r="E681" s="19"/>
      <c r="F681" s="19"/>
    </row>
    <row r="682" spans="1:6" ht="15.75" customHeight="1" x14ac:dyDescent="0.3">
      <c r="A682" s="19"/>
      <c r="B682" s="19"/>
      <c r="C682" s="19"/>
      <c r="D682" s="19"/>
      <c r="E682" s="19"/>
      <c r="F682" s="19"/>
    </row>
    <row r="683" spans="1:6" ht="15.75" customHeight="1" x14ac:dyDescent="0.3">
      <c r="A683" s="19"/>
      <c r="B683" s="19"/>
      <c r="C683" s="19"/>
      <c r="D683" s="19"/>
      <c r="E683" s="19"/>
      <c r="F683" s="19"/>
    </row>
    <row r="684" spans="1:6" ht="15.75" customHeight="1" x14ac:dyDescent="0.3">
      <c r="A684" s="19"/>
      <c r="B684" s="19"/>
      <c r="C684" s="19"/>
      <c r="D684" s="19"/>
      <c r="E684" s="19"/>
      <c r="F684" s="19"/>
    </row>
    <row r="685" spans="1:6" ht="15.75" customHeight="1" x14ac:dyDescent="0.3">
      <c r="A685" s="19"/>
      <c r="B685" s="19"/>
      <c r="C685" s="19"/>
      <c r="D685" s="19"/>
      <c r="E685" s="19"/>
      <c r="F685" s="19"/>
    </row>
    <row r="686" spans="1:6" ht="15.75" customHeight="1" x14ac:dyDescent="0.3">
      <c r="A686" s="19"/>
      <c r="B686" s="19"/>
      <c r="C686" s="19"/>
      <c r="D686" s="19"/>
      <c r="E686" s="19"/>
      <c r="F686" s="19"/>
    </row>
    <row r="687" spans="1:6" ht="15.75" customHeight="1" x14ac:dyDescent="0.3">
      <c r="A687" s="19"/>
      <c r="B687" s="19"/>
      <c r="C687" s="19"/>
      <c r="D687" s="19"/>
      <c r="E687" s="19"/>
      <c r="F687" s="19"/>
    </row>
    <row r="688" spans="1:6" ht="15.75" customHeight="1" x14ac:dyDescent="0.3">
      <c r="A688" s="19"/>
      <c r="B688" s="19"/>
      <c r="C688" s="19"/>
      <c r="D688" s="19"/>
      <c r="E688" s="19"/>
      <c r="F688" s="19"/>
    </row>
    <row r="689" spans="1:6" ht="15.75" customHeight="1" x14ac:dyDescent="0.3">
      <c r="A689" s="19"/>
      <c r="B689" s="19"/>
      <c r="C689" s="19"/>
      <c r="D689" s="19"/>
      <c r="E689" s="19"/>
      <c r="F689" s="19"/>
    </row>
    <row r="690" spans="1:6" ht="15.75" customHeight="1" x14ac:dyDescent="0.3">
      <c r="A690" s="19"/>
      <c r="B690" s="19"/>
      <c r="C690" s="19"/>
      <c r="D690" s="19"/>
      <c r="E690" s="19"/>
      <c r="F690" s="19"/>
    </row>
    <row r="691" spans="1:6" ht="15.75" customHeight="1" x14ac:dyDescent="0.3">
      <c r="A691" s="19"/>
      <c r="B691" s="19"/>
      <c r="C691" s="19"/>
      <c r="D691" s="19"/>
      <c r="E691" s="19"/>
      <c r="F691" s="19"/>
    </row>
    <row r="692" spans="1:6" ht="15.75" customHeight="1" x14ac:dyDescent="0.3">
      <c r="A692" s="19"/>
      <c r="B692" s="19"/>
      <c r="C692" s="19"/>
      <c r="D692" s="19"/>
      <c r="E692" s="19"/>
      <c r="F692" s="19"/>
    </row>
    <row r="693" spans="1:6" ht="15.75" customHeight="1" x14ac:dyDescent="0.3">
      <c r="A693" s="19"/>
      <c r="B693" s="19"/>
      <c r="C693" s="19"/>
      <c r="D693" s="19"/>
      <c r="E693" s="19"/>
      <c r="F693" s="19"/>
    </row>
    <row r="694" spans="1:6" ht="15.75" customHeight="1" x14ac:dyDescent="0.3">
      <c r="A694" s="19"/>
      <c r="B694" s="19"/>
      <c r="C694" s="19"/>
      <c r="D694" s="19"/>
      <c r="E694" s="19"/>
      <c r="F694" s="19"/>
    </row>
    <row r="695" spans="1:6" ht="15.75" customHeight="1" x14ac:dyDescent="0.3">
      <c r="A695" s="19"/>
      <c r="B695" s="19"/>
      <c r="C695" s="19"/>
      <c r="D695" s="19"/>
      <c r="E695" s="19"/>
      <c r="F695" s="19"/>
    </row>
    <row r="696" spans="1:6" ht="15.75" customHeight="1" x14ac:dyDescent="0.3">
      <c r="A696" s="19"/>
      <c r="B696" s="19"/>
      <c r="C696" s="19"/>
      <c r="D696" s="19"/>
      <c r="E696" s="19"/>
      <c r="F696" s="19"/>
    </row>
    <row r="697" spans="1:6" ht="15.75" customHeight="1" x14ac:dyDescent="0.3">
      <c r="A697" s="19"/>
      <c r="B697" s="19"/>
      <c r="C697" s="19"/>
      <c r="D697" s="19"/>
      <c r="E697" s="19"/>
      <c r="F697" s="19"/>
    </row>
    <row r="698" spans="1:6" ht="15.75" customHeight="1" x14ac:dyDescent="0.3">
      <c r="A698" s="19"/>
      <c r="B698" s="19"/>
      <c r="C698" s="19"/>
      <c r="D698" s="19"/>
      <c r="E698" s="19"/>
      <c r="F698" s="19"/>
    </row>
    <row r="699" spans="1:6" ht="15.75" customHeight="1" x14ac:dyDescent="0.3">
      <c r="A699" s="19"/>
      <c r="B699" s="19"/>
      <c r="C699" s="19"/>
      <c r="D699" s="19"/>
      <c r="E699" s="19"/>
      <c r="F699" s="19"/>
    </row>
    <row r="700" spans="1:6" ht="15.75" customHeight="1" x14ac:dyDescent="0.3">
      <c r="A700" s="19"/>
      <c r="B700" s="19"/>
      <c r="C700" s="19"/>
      <c r="D700" s="19"/>
      <c r="E700" s="19"/>
      <c r="F700" s="19"/>
    </row>
    <row r="701" spans="1:6" ht="15.75" customHeight="1" x14ac:dyDescent="0.3">
      <c r="A701" s="19"/>
      <c r="B701" s="19"/>
      <c r="C701" s="19"/>
      <c r="D701" s="19"/>
      <c r="E701" s="19"/>
      <c r="F701" s="19"/>
    </row>
    <row r="702" spans="1:6" ht="15.75" customHeight="1" x14ac:dyDescent="0.3">
      <c r="A702" s="19"/>
      <c r="B702" s="19"/>
      <c r="C702" s="19"/>
      <c r="D702" s="19"/>
      <c r="E702" s="19"/>
      <c r="F702" s="19"/>
    </row>
    <row r="703" spans="1:6" ht="15.75" customHeight="1" x14ac:dyDescent="0.3">
      <c r="A703" s="19"/>
      <c r="B703" s="19"/>
      <c r="C703" s="19"/>
      <c r="D703" s="19"/>
      <c r="E703" s="19"/>
      <c r="F703" s="19"/>
    </row>
    <row r="704" spans="1:6" ht="15.75" customHeight="1" x14ac:dyDescent="0.3">
      <c r="A704" s="19"/>
      <c r="B704" s="19"/>
      <c r="C704" s="19"/>
      <c r="D704" s="19"/>
      <c r="E704" s="19"/>
      <c r="F704" s="19"/>
    </row>
    <row r="705" spans="1:6" ht="15.75" customHeight="1" x14ac:dyDescent="0.3">
      <c r="A705" s="19"/>
      <c r="B705" s="19"/>
      <c r="C705" s="19"/>
      <c r="D705" s="19"/>
      <c r="E705" s="19"/>
      <c r="F705" s="19"/>
    </row>
    <row r="706" spans="1:6" ht="15.75" customHeight="1" x14ac:dyDescent="0.3">
      <c r="A706" s="19"/>
      <c r="B706" s="19"/>
      <c r="C706" s="19"/>
      <c r="D706" s="19"/>
      <c r="E706" s="19"/>
      <c r="F706" s="19"/>
    </row>
    <row r="707" spans="1:6" ht="15.75" customHeight="1" x14ac:dyDescent="0.3">
      <c r="A707" s="19"/>
      <c r="B707" s="19"/>
      <c r="C707" s="19"/>
      <c r="D707" s="19"/>
      <c r="E707" s="19"/>
      <c r="F707" s="19"/>
    </row>
    <row r="708" spans="1:6" ht="15.75" customHeight="1" x14ac:dyDescent="0.3">
      <c r="A708" s="19"/>
      <c r="B708" s="19"/>
      <c r="C708" s="19"/>
      <c r="D708" s="19"/>
      <c r="E708" s="19"/>
      <c r="F708" s="19"/>
    </row>
    <row r="709" spans="1:6" ht="15.75" customHeight="1" x14ac:dyDescent="0.3">
      <c r="A709" s="19"/>
      <c r="B709" s="19"/>
      <c r="C709" s="19"/>
      <c r="D709" s="19"/>
      <c r="E709" s="19"/>
      <c r="F709" s="19"/>
    </row>
    <row r="710" spans="1:6" ht="15.75" customHeight="1" x14ac:dyDescent="0.3">
      <c r="A710" s="19"/>
      <c r="B710" s="19"/>
      <c r="C710" s="19"/>
      <c r="D710" s="19"/>
      <c r="E710" s="19"/>
      <c r="F710" s="19"/>
    </row>
    <row r="711" spans="1:6" ht="15.75" customHeight="1" x14ac:dyDescent="0.3">
      <c r="A711" s="19"/>
      <c r="B711" s="19"/>
      <c r="C711" s="19"/>
      <c r="D711" s="19"/>
      <c r="E711" s="19"/>
      <c r="F711" s="19"/>
    </row>
    <row r="712" spans="1:6" ht="15.75" customHeight="1" x14ac:dyDescent="0.3">
      <c r="A712" s="19"/>
      <c r="B712" s="19"/>
      <c r="C712" s="19"/>
      <c r="D712" s="19"/>
      <c r="E712" s="19"/>
      <c r="F712" s="19"/>
    </row>
    <row r="713" spans="1:6" ht="15.75" customHeight="1" x14ac:dyDescent="0.3">
      <c r="A713" s="19"/>
      <c r="B713" s="19"/>
      <c r="C713" s="19"/>
      <c r="D713" s="19"/>
      <c r="E713" s="19"/>
      <c r="F713" s="19"/>
    </row>
    <row r="714" spans="1:6" ht="15.75" customHeight="1" x14ac:dyDescent="0.3">
      <c r="A714" s="19"/>
      <c r="B714" s="19"/>
      <c r="C714" s="19"/>
      <c r="D714" s="19"/>
      <c r="E714" s="19"/>
      <c r="F714" s="19"/>
    </row>
    <row r="715" spans="1:6" ht="15.75" customHeight="1" x14ac:dyDescent="0.3">
      <c r="A715" s="19"/>
      <c r="B715" s="19"/>
      <c r="C715" s="19"/>
      <c r="D715" s="19"/>
      <c r="E715" s="19"/>
      <c r="F715" s="19"/>
    </row>
    <row r="716" spans="1:6" ht="15.75" customHeight="1" x14ac:dyDescent="0.3">
      <c r="A716" s="19"/>
      <c r="B716" s="19"/>
      <c r="C716" s="19"/>
      <c r="D716" s="19"/>
      <c r="E716" s="19"/>
      <c r="F716" s="19"/>
    </row>
    <row r="717" spans="1:6" ht="15.75" customHeight="1" x14ac:dyDescent="0.3">
      <c r="A717" s="19"/>
      <c r="B717" s="19"/>
      <c r="C717" s="19"/>
      <c r="D717" s="19"/>
      <c r="E717" s="19"/>
      <c r="F717" s="19"/>
    </row>
    <row r="718" spans="1:6" ht="15.75" customHeight="1" x14ac:dyDescent="0.3">
      <c r="A718" s="19"/>
      <c r="B718" s="19"/>
      <c r="C718" s="19"/>
      <c r="D718" s="19"/>
      <c r="E718" s="19"/>
      <c r="F718" s="19"/>
    </row>
    <row r="719" spans="1:6" ht="15.75" customHeight="1" x14ac:dyDescent="0.3">
      <c r="A719" s="19"/>
      <c r="B719" s="19"/>
      <c r="C719" s="19"/>
      <c r="D719" s="19"/>
      <c r="E719" s="19"/>
      <c r="F719" s="19"/>
    </row>
    <row r="720" spans="1:6" ht="15.75" customHeight="1" x14ac:dyDescent="0.3">
      <c r="A720" s="19"/>
      <c r="B720" s="19"/>
      <c r="C720" s="19"/>
      <c r="D720" s="19"/>
      <c r="E720" s="19"/>
      <c r="F720" s="19"/>
    </row>
    <row r="721" spans="1:6" ht="15.75" customHeight="1" x14ac:dyDescent="0.3">
      <c r="A721" s="19"/>
      <c r="B721" s="19"/>
      <c r="C721" s="19"/>
      <c r="D721" s="19"/>
      <c r="E721" s="19"/>
      <c r="F721" s="19"/>
    </row>
    <row r="722" spans="1:6" ht="15.75" customHeight="1" x14ac:dyDescent="0.3">
      <c r="A722" s="19"/>
      <c r="B722" s="19"/>
      <c r="C722" s="19"/>
      <c r="D722" s="19"/>
      <c r="E722" s="19"/>
      <c r="F722" s="19"/>
    </row>
    <row r="723" spans="1:6" ht="15.75" customHeight="1" x14ac:dyDescent="0.3">
      <c r="A723" s="19"/>
      <c r="B723" s="19"/>
      <c r="C723" s="19"/>
      <c r="D723" s="19"/>
      <c r="E723" s="19"/>
      <c r="F723" s="19"/>
    </row>
    <row r="724" spans="1:6" ht="15.75" customHeight="1" x14ac:dyDescent="0.3">
      <c r="A724" s="19"/>
      <c r="B724" s="19"/>
      <c r="C724" s="19"/>
      <c r="D724" s="19"/>
      <c r="E724" s="19"/>
      <c r="F724" s="19"/>
    </row>
    <row r="725" spans="1:6" ht="15.75" customHeight="1" x14ac:dyDescent="0.3">
      <c r="A725" s="19"/>
      <c r="B725" s="19"/>
      <c r="C725" s="19"/>
      <c r="D725" s="19"/>
      <c r="E725" s="19"/>
      <c r="F725" s="19"/>
    </row>
    <row r="726" spans="1:6" ht="15.75" customHeight="1" x14ac:dyDescent="0.3">
      <c r="A726" s="19"/>
      <c r="B726" s="19"/>
      <c r="C726" s="19"/>
      <c r="D726" s="19"/>
      <c r="E726" s="19"/>
      <c r="F726" s="19"/>
    </row>
    <row r="727" spans="1:6" ht="15.75" customHeight="1" x14ac:dyDescent="0.3">
      <c r="A727" s="19"/>
      <c r="B727" s="19"/>
      <c r="C727" s="19"/>
      <c r="D727" s="19"/>
      <c r="E727" s="19"/>
      <c r="F727" s="19"/>
    </row>
    <row r="728" spans="1:6" ht="15.75" customHeight="1" x14ac:dyDescent="0.3">
      <c r="A728" s="19"/>
      <c r="B728" s="19"/>
      <c r="C728" s="19"/>
      <c r="D728" s="19"/>
      <c r="E728" s="19"/>
      <c r="F728" s="19"/>
    </row>
    <row r="729" spans="1:6" ht="15.75" customHeight="1" x14ac:dyDescent="0.3">
      <c r="A729" s="19"/>
      <c r="B729" s="19"/>
      <c r="C729" s="19"/>
      <c r="D729" s="19"/>
      <c r="E729" s="19"/>
      <c r="F729" s="19"/>
    </row>
    <row r="730" spans="1:6" ht="15.75" customHeight="1" x14ac:dyDescent="0.3">
      <c r="A730" s="19"/>
      <c r="B730" s="19"/>
      <c r="C730" s="19"/>
      <c r="D730" s="19"/>
      <c r="E730" s="19"/>
      <c r="F730" s="19"/>
    </row>
    <row r="731" spans="1:6" ht="15.75" customHeight="1" x14ac:dyDescent="0.3">
      <c r="A731" s="19"/>
      <c r="B731" s="19"/>
      <c r="C731" s="19"/>
      <c r="D731" s="19"/>
      <c r="E731" s="19"/>
      <c r="F731" s="19"/>
    </row>
    <row r="732" spans="1:6" ht="15.75" customHeight="1" x14ac:dyDescent="0.3">
      <c r="A732" s="19"/>
      <c r="B732" s="19"/>
      <c r="C732" s="19"/>
      <c r="D732" s="19"/>
      <c r="E732" s="19"/>
      <c r="F732" s="19"/>
    </row>
    <row r="733" spans="1:6" ht="15.75" customHeight="1" x14ac:dyDescent="0.3">
      <c r="A733" s="19"/>
      <c r="B733" s="19"/>
      <c r="C733" s="19"/>
      <c r="D733" s="19"/>
      <c r="E733" s="19"/>
      <c r="F733" s="19"/>
    </row>
    <row r="734" spans="1:6" ht="15.75" customHeight="1" x14ac:dyDescent="0.3">
      <c r="A734" s="19"/>
      <c r="B734" s="19"/>
      <c r="C734" s="19"/>
      <c r="D734" s="19"/>
      <c r="E734" s="19"/>
      <c r="F734" s="19"/>
    </row>
    <row r="735" spans="1:6" ht="15.75" customHeight="1" x14ac:dyDescent="0.3">
      <c r="A735" s="19"/>
      <c r="B735" s="19"/>
      <c r="C735" s="19"/>
      <c r="D735" s="19"/>
      <c r="E735" s="19"/>
      <c r="F735" s="19"/>
    </row>
    <row r="736" spans="1:6" ht="15.75" customHeight="1" x14ac:dyDescent="0.3">
      <c r="A736" s="19"/>
      <c r="B736" s="19"/>
      <c r="C736" s="19"/>
      <c r="D736" s="19"/>
      <c r="E736" s="19"/>
      <c r="F736" s="19"/>
    </row>
    <row r="737" spans="1:6" ht="15.75" customHeight="1" x14ac:dyDescent="0.3">
      <c r="A737" s="19"/>
      <c r="B737" s="19"/>
      <c r="C737" s="19"/>
      <c r="D737" s="19"/>
      <c r="E737" s="19"/>
      <c r="F737" s="19"/>
    </row>
    <row r="738" spans="1:6" ht="15.75" customHeight="1" x14ac:dyDescent="0.3">
      <c r="A738" s="19"/>
      <c r="B738" s="19"/>
      <c r="C738" s="19"/>
      <c r="D738" s="19"/>
      <c r="E738" s="19"/>
      <c r="F738" s="19"/>
    </row>
    <row r="739" spans="1:6" ht="15.75" customHeight="1" x14ac:dyDescent="0.3">
      <c r="A739" s="19"/>
      <c r="B739" s="19"/>
      <c r="C739" s="19"/>
      <c r="D739" s="19"/>
      <c r="E739" s="19"/>
      <c r="F739" s="19"/>
    </row>
    <row r="740" spans="1:6" ht="15.75" customHeight="1" x14ac:dyDescent="0.3">
      <c r="A740" s="19"/>
      <c r="B740" s="19"/>
      <c r="C740" s="19"/>
      <c r="D740" s="19"/>
      <c r="E740" s="19"/>
      <c r="F740" s="19"/>
    </row>
    <row r="741" spans="1:6" ht="15.75" customHeight="1" x14ac:dyDescent="0.3">
      <c r="A741" s="19"/>
      <c r="B741" s="19"/>
      <c r="C741" s="19"/>
      <c r="D741" s="19"/>
      <c r="E741" s="19"/>
      <c r="F741" s="19"/>
    </row>
    <row r="742" spans="1:6" ht="15.75" customHeight="1" x14ac:dyDescent="0.3">
      <c r="A742" s="19"/>
      <c r="B742" s="19"/>
      <c r="C742" s="19"/>
      <c r="D742" s="19"/>
      <c r="E742" s="19"/>
      <c r="F742" s="19"/>
    </row>
    <row r="743" spans="1:6" ht="15.75" customHeight="1" x14ac:dyDescent="0.3">
      <c r="A743" s="19"/>
      <c r="B743" s="19"/>
      <c r="C743" s="19"/>
      <c r="D743" s="19"/>
      <c r="E743" s="19"/>
      <c r="F743" s="19"/>
    </row>
    <row r="744" spans="1:6" ht="15.75" customHeight="1" x14ac:dyDescent="0.3">
      <c r="A744" s="19"/>
      <c r="B744" s="19"/>
      <c r="C744" s="19"/>
      <c r="D744" s="19"/>
      <c r="E744" s="19"/>
      <c r="F744" s="19"/>
    </row>
    <row r="745" spans="1:6" ht="15.75" customHeight="1" x14ac:dyDescent="0.3">
      <c r="A745" s="19"/>
      <c r="B745" s="19"/>
      <c r="C745" s="19"/>
      <c r="D745" s="19"/>
      <c r="E745" s="19"/>
      <c r="F745" s="19"/>
    </row>
    <row r="746" spans="1:6" ht="15.75" customHeight="1" x14ac:dyDescent="0.3">
      <c r="A746" s="19"/>
      <c r="B746" s="19"/>
      <c r="C746" s="19"/>
      <c r="D746" s="19"/>
      <c r="E746" s="19"/>
      <c r="F746" s="19"/>
    </row>
    <row r="747" spans="1:6" ht="15.75" customHeight="1" x14ac:dyDescent="0.3">
      <c r="A747" s="19"/>
      <c r="B747" s="19"/>
      <c r="C747" s="19"/>
      <c r="D747" s="19"/>
      <c r="E747" s="19"/>
      <c r="F747" s="19"/>
    </row>
    <row r="748" spans="1:6" ht="15.75" customHeight="1" x14ac:dyDescent="0.3">
      <c r="A748" s="19"/>
      <c r="B748" s="19"/>
      <c r="C748" s="19"/>
      <c r="D748" s="19"/>
      <c r="E748" s="19"/>
      <c r="F748" s="19"/>
    </row>
    <row r="749" spans="1:6" ht="15.75" customHeight="1" x14ac:dyDescent="0.3">
      <c r="A749" s="19"/>
      <c r="B749" s="19"/>
      <c r="C749" s="19"/>
      <c r="D749" s="19"/>
      <c r="E749" s="19"/>
      <c r="F749" s="19"/>
    </row>
    <row r="750" spans="1:6" ht="15.75" customHeight="1" x14ac:dyDescent="0.3">
      <c r="A750" s="19"/>
      <c r="B750" s="19"/>
      <c r="C750" s="19"/>
      <c r="D750" s="19"/>
      <c r="E750" s="19"/>
      <c r="F750" s="19"/>
    </row>
    <row r="751" spans="1:6" ht="15.75" customHeight="1" x14ac:dyDescent="0.3">
      <c r="A751" s="19"/>
      <c r="B751" s="19"/>
      <c r="C751" s="19"/>
      <c r="D751" s="19"/>
      <c r="E751" s="19"/>
      <c r="F751" s="19"/>
    </row>
    <row r="752" spans="1:6" ht="15.75" customHeight="1" x14ac:dyDescent="0.3">
      <c r="A752" s="19"/>
      <c r="B752" s="19"/>
      <c r="C752" s="19"/>
      <c r="D752" s="19"/>
      <c r="E752" s="19"/>
      <c r="F752" s="19"/>
    </row>
    <row r="753" spans="1:6" ht="15.75" customHeight="1" x14ac:dyDescent="0.3">
      <c r="A753" s="19"/>
      <c r="B753" s="19"/>
      <c r="C753" s="19"/>
      <c r="D753" s="19"/>
      <c r="E753" s="19"/>
      <c r="F753" s="19"/>
    </row>
    <row r="754" spans="1:6" ht="15.75" customHeight="1" x14ac:dyDescent="0.3">
      <c r="A754" s="19"/>
      <c r="B754" s="19"/>
      <c r="C754" s="19"/>
      <c r="D754" s="19"/>
      <c r="E754" s="19"/>
      <c r="F754" s="19"/>
    </row>
    <row r="755" spans="1:6" ht="15.75" customHeight="1" x14ac:dyDescent="0.3">
      <c r="A755" s="19"/>
      <c r="B755" s="19"/>
      <c r="C755" s="19"/>
      <c r="D755" s="19"/>
      <c r="E755" s="19"/>
      <c r="F755" s="19"/>
    </row>
    <row r="756" spans="1:6" ht="15.75" customHeight="1" x14ac:dyDescent="0.3">
      <c r="A756" s="19"/>
      <c r="B756" s="19"/>
      <c r="C756" s="19"/>
      <c r="D756" s="19"/>
      <c r="E756" s="19"/>
      <c r="F756" s="19"/>
    </row>
    <row r="757" spans="1:6" ht="15.75" customHeight="1" x14ac:dyDescent="0.3">
      <c r="A757" s="19"/>
      <c r="B757" s="19"/>
      <c r="C757" s="19"/>
      <c r="D757" s="19"/>
      <c r="E757" s="19"/>
      <c r="F757" s="19"/>
    </row>
    <row r="758" spans="1:6" ht="15.75" customHeight="1" x14ac:dyDescent="0.3">
      <c r="A758" s="19"/>
      <c r="B758" s="19"/>
      <c r="C758" s="19"/>
      <c r="D758" s="19"/>
      <c r="E758" s="19"/>
      <c r="F758" s="19"/>
    </row>
    <row r="759" spans="1:6" ht="15.75" customHeight="1" x14ac:dyDescent="0.3">
      <c r="A759" s="19"/>
      <c r="B759" s="19"/>
      <c r="C759" s="19"/>
      <c r="D759" s="19"/>
      <c r="E759" s="19"/>
      <c r="F759" s="19"/>
    </row>
    <row r="760" spans="1:6" ht="15.75" customHeight="1" x14ac:dyDescent="0.3">
      <c r="A760" s="19"/>
      <c r="B760" s="19"/>
      <c r="C760" s="19"/>
      <c r="D760" s="19"/>
      <c r="E760" s="19"/>
      <c r="F760" s="19"/>
    </row>
    <row r="761" spans="1:6" ht="15.75" customHeight="1" x14ac:dyDescent="0.3">
      <c r="A761" s="19"/>
      <c r="B761" s="19"/>
      <c r="C761" s="19"/>
      <c r="D761" s="19"/>
      <c r="E761" s="19"/>
      <c r="F761" s="19"/>
    </row>
    <row r="762" spans="1:6" ht="15.75" customHeight="1" x14ac:dyDescent="0.3">
      <c r="A762" s="19"/>
      <c r="B762" s="19"/>
      <c r="C762" s="19"/>
      <c r="D762" s="19"/>
      <c r="E762" s="19"/>
      <c r="F762" s="19"/>
    </row>
    <row r="763" spans="1:6" ht="15.75" customHeight="1" x14ac:dyDescent="0.3">
      <c r="A763" s="19"/>
      <c r="B763" s="19"/>
      <c r="C763" s="19"/>
      <c r="D763" s="19"/>
      <c r="E763" s="19"/>
      <c r="F763" s="19"/>
    </row>
    <row r="764" spans="1:6" ht="15.75" customHeight="1" x14ac:dyDescent="0.3">
      <c r="A764" s="19"/>
      <c r="B764" s="19"/>
      <c r="C764" s="19"/>
      <c r="D764" s="19"/>
      <c r="E764" s="19"/>
      <c r="F764" s="19"/>
    </row>
    <row r="765" spans="1:6" ht="15.75" customHeight="1" x14ac:dyDescent="0.3">
      <c r="A765" s="19"/>
      <c r="B765" s="19"/>
      <c r="C765" s="19"/>
      <c r="D765" s="19"/>
      <c r="E765" s="19"/>
      <c r="F765" s="19"/>
    </row>
    <row r="766" spans="1:6" ht="15.75" customHeight="1" x14ac:dyDescent="0.3">
      <c r="A766" s="19"/>
      <c r="B766" s="19"/>
      <c r="C766" s="19"/>
      <c r="D766" s="19"/>
      <c r="E766" s="19"/>
      <c r="F766" s="19"/>
    </row>
    <row r="767" spans="1:6" ht="15.75" customHeight="1" x14ac:dyDescent="0.3">
      <c r="A767" s="19"/>
      <c r="B767" s="19"/>
      <c r="C767" s="19"/>
      <c r="D767" s="19"/>
      <c r="E767" s="19"/>
      <c r="F767" s="19"/>
    </row>
    <row r="768" spans="1:6" ht="15.75" customHeight="1" x14ac:dyDescent="0.3">
      <c r="A768" s="19"/>
      <c r="B768" s="19"/>
      <c r="C768" s="19"/>
      <c r="D768" s="19"/>
      <c r="E768" s="19"/>
      <c r="F768" s="19"/>
    </row>
    <row r="769" spans="1:6" ht="15.75" customHeight="1" x14ac:dyDescent="0.3">
      <c r="A769" s="19"/>
      <c r="B769" s="19"/>
      <c r="C769" s="19"/>
      <c r="D769" s="19"/>
      <c r="E769" s="19"/>
      <c r="F769" s="19"/>
    </row>
    <row r="770" spans="1:6" ht="15.75" customHeight="1" x14ac:dyDescent="0.3">
      <c r="A770" s="19"/>
      <c r="B770" s="19"/>
      <c r="C770" s="19"/>
      <c r="D770" s="19"/>
      <c r="E770" s="19"/>
      <c r="F770" s="19"/>
    </row>
    <row r="771" spans="1:6" ht="15.75" customHeight="1" x14ac:dyDescent="0.3">
      <c r="A771" s="19"/>
      <c r="B771" s="19"/>
      <c r="C771" s="19"/>
      <c r="D771" s="19"/>
      <c r="E771" s="19"/>
      <c r="F771" s="19"/>
    </row>
    <row r="772" spans="1:6" ht="15.75" customHeight="1" x14ac:dyDescent="0.3">
      <c r="A772" s="19"/>
      <c r="B772" s="19"/>
      <c r="C772" s="19"/>
      <c r="D772" s="19"/>
      <c r="E772" s="19"/>
      <c r="F772" s="19"/>
    </row>
    <row r="773" spans="1:6" ht="15.75" customHeight="1" x14ac:dyDescent="0.3">
      <c r="A773" s="19"/>
      <c r="B773" s="19"/>
      <c r="C773" s="19"/>
      <c r="D773" s="19"/>
      <c r="E773" s="19"/>
      <c r="F773" s="19"/>
    </row>
    <row r="774" spans="1:6" ht="15.75" customHeight="1" x14ac:dyDescent="0.3">
      <c r="A774" s="19"/>
      <c r="B774" s="19"/>
      <c r="C774" s="19"/>
      <c r="D774" s="19"/>
      <c r="E774" s="19"/>
      <c r="F774" s="19"/>
    </row>
    <row r="775" spans="1:6" ht="15.75" customHeight="1" x14ac:dyDescent="0.3">
      <c r="A775" s="19"/>
      <c r="B775" s="19"/>
      <c r="C775" s="19"/>
      <c r="D775" s="19"/>
      <c r="E775" s="19"/>
      <c r="F775" s="19"/>
    </row>
    <row r="776" spans="1:6" ht="15.75" customHeight="1" x14ac:dyDescent="0.3">
      <c r="A776" s="19"/>
      <c r="B776" s="19"/>
      <c r="C776" s="19"/>
      <c r="D776" s="19"/>
      <c r="E776" s="19"/>
      <c r="F776" s="19"/>
    </row>
    <row r="777" spans="1:6" ht="15.75" customHeight="1" x14ac:dyDescent="0.3">
      <c r="A777" s="19"/>
      <c r="B777" s="19"/>
      <c r="C777" s="19"/>
      <c r="D777" s="19"/>
      <c r="E777" s="19"/>
      <c r="F777" s="19"/>
    </row>
    <row r="778" spans="1:6" ht="15.75" customHeight="1" x14ac:dyDescent="0.3">
      <c r="A778" s="19"/>
      <c r="B778" s="19"/>
      <c r="C778" s="19"/>
      <c r="D778" s="19"/>
      <c r="E778" s="19"/>
      <c r="F778" s="19"/>
    </row>
    <row r="779" spans="1:6" ht="15.75" customHeight="1" x14ac:dyDescent="0.3">
      <c r="A779" s="19"/>
      <c r="B779" s="19"/>
      <c r="C779" s="19"/>
      <c r="D779" s="19"/>
      <c r="E779" s="19"/>
      <c r="F779" s="19"/>
    </row>
    <row r="780" spans="1:6" ht="15.75" customHeight="1" x14ac:dyDescent="0.3">
      <c r="A780" s="19"/>
      <c r="B780" s="19"/>
      <c r="C780" s="19"/>
      <c r="D780" s="19"/>
      <c r="E780" s="19"/>
      <c r="F780" s="19"/>
    </row>
    <row r="781" spans="1:6" ht="15.75" customHeight="1" x14ac:dyDescent="0.3">
      <c r="A781" s="19"/>
      <c r="B781" s="19"/>
      <c r="C781" s="19"/>
      <c r="D781" s="19"/>
      <c r="E781" s="19"/>
      <c r="F781" s="19"/>
    </row>
    <row r="782" spans="1:6" ht="15.75" customHeight="1" x14ac:dyDescent="0.3">
      <c r="A782" s="19"/>
      <c r="B782" s="19"/>
      <c r="C782" s="19"/>
      <c r="D782" s="19"/>
      <c r="E782" s="19"/>
      <c r="F782" s="19"/>
    </row>
    <row r="783" spans="1:6" ht="15.75" customHeight="1" x14ac:dyDescent="0.3">
      <c r="A783" s="19"/>
      <c r="B783" s="19"/>
      <c r="C783" s="19"/>
      <c r="D783" s="19"/>
      <c r="E783" s="19"/>
      <c r="F783" s="19"/>
    </row>
    <row r="784" spans="1:6" ht="15.75" customHeight="1" x14ac:dyDescent="0.3">
      <c r="A784" s="19"/>
      <c r="B784" s="19"/>
      <c r="C784" s="19"/>
      <c r="D784" s="19"/>
      <c r="E784" s="19"/>
      <c r="F784" s="19"/>
    </row>
    <row r="785" spans="1:6" ht="15.75" customHeight="1" x14ac:dyDescent="0.3">
      <c r="A785" s="19"/>
      <c r="B785" s="19"/>
      <c r="C785" s="19"/>
      <c r="D785" s="19"/>
      <c r="E785" s="19"/>
      <c r="F785" s="19"/>
    </row>
    <row r="786" spans="1:6" ht="15.75" customHeight="1" x14ac:dyDescent="0.3">
      <c r="A786" s="19"/>
      <c r="B786" s="19"/>
      <c r="C786" s="19"/>
      <c r="D786" s="19"/>
      <c r="E786" s="19"/>
      <c r="F786" s="19"/>
    </row>
    <row r="787" spans="1:6" ht="15.75" customHeight="1" x14ac:dyDescent="0.3">
      <c r="A787" s="19"/>
      <c r="B787" s="19"/>
      <c r="C787" s="19"/>
      <c r="D787" s="19"/>
      <c r="E787" s="19"/>
      <c r="F787" s="19"/>
    </row>
    <row r="788" spans="1:6" ht="15.75" customHeight="1" x14ac:dyDescent="0.3">
      <c r="A788" s="19"/>
      <c r="B788" s="19"/>
      <c r="C788" s="19"/>
      <c r="D788" s="19"/>
      <c r="E788" s="19"/>
      <c r="F788" s="19"/>
    </row>
    <row r="789" spans="1:6" ht="15.75" customHeight="1" x14ac:dyDescent="0.3">
      <c r="A789" s="19"/>
      <c r="B789" s="19"/>
      <c r="C789" s="19"/>
      <c r="D789" s="19"/>
      <c r="E789" s="19"/>
      <c r="F789" s="19"/>
    </row>
    <row r="790" spans="1:6" ht="15.75" customHeight="1" x14ac:dyDescent="0.3">
      <c r="A790" s="19"/>
      <c r="B790" s="19"/>
      <c r="C790" s="19"/>
      <c r="D790" s="19"/>
      <c r="E790" s="19"/>
      <c r="F790" s="19"/>
    </row>
    <row r="791" spans="1:6" ht="15.75" customHeight="1" x14ac:dyDescent="0.3">
      <c r="A791" s="19"/>
      <c r="B791" s="19"/>
      <c r="C791" s="19"/>
      <c r="D791" s="19"/>
      <c r="E791" s="19"/>
      <c r="F791" s="19"/>
    </row>
    <row r="792" spans="1:6" ht="15.75" customHeight="1" x14ac:dyDescent="0.3">
      <c r="A792" s="19"/>
      <c r="B792" s="19"/>
      <c r="C792" s="19"/>
      <c r="D792" s="19"/>
      <c r="E792" s="19"/>
      <c r="F792" s="19"/>
    </row>
    <row r="793" spans="1:6" ht="15.75" customHeight="1" x14ac:dyDescent="0.3">
      <c r="A793" s="19"/>
      <c r="B793" s="19"/>
      <c r="C793" s="19"/>
      <c r="D793" s="19"/>
      <c r="E793" s="19"/>
      <c r="F793" s="19"/>
    </row>
    <row r="794" spans="1:6" ht="15.75" customHeight="1" x14ac:dyDescent="0.3">
      <c r="A794" s="19"/>
      <c r="B794" s="19"/>
      <c r="C794" s="19"/>
      <c r="D794" s="19"/>
      <c r="E794" s="19"/>
      <c r="F794" s="19"/>
    </row>
    <row r="795" spans="1:6" ht="15.75" customHeight="1" x14ac:dyDescent="0.3">
      <c r="A795" s="19"/>
      <c r="B795" s="19"/>
      <c r="C795" s="19"/>
      <c r="D795" s="19"/>
      <c r="E795" s="19"/>
      <c r="F795" s="19"/>
    </row>
    <row r="796" spans="1:6" ht="15.75" customHeight="1" x14ac:dyDescent="0.3">
      <c r="A796" s="19"/>
      <c r="B796" s="19"/>
      <c r="C796" s="19"/>
      <c r="D796" s="19"/>
      <c r="E796" s="19"/>
      <c r="F796" s="19"/>
    </row>
    <row r="797" spans="1:6" ht="15.75" customHeight="1" x14ac:dyDescent="0.3">
      <c r="A797" s="19"/>
      <c r="B797" s="19"/>
      <c r="C797" s="19"/>
      <c r="D797" s="19"/>
      <c r="E797" s="19"/>
      <c r="F797" s="19"/>
    </row>
    <row r="798" spans="1:6" ht="15.75" customHeight="1" x14ac:dyDescent="0.3">
      <c r="A798" s="19"/>
      <c r="B798" s="19"/>
      <c r="C798" s="19"/>
      <c r="D798" s="19"/>
      <c r="E798" s="19"/>
      <c r="F798" s="19"/>
    </row>
    <row r="799" spans="1:6" ht="15.75" customHeight="1" x14ac:dyDescent="0.3">
      <c r="A799" s="19"/>
      <c r="B799" s="19"/>
      <c r="C799" s="19"/>
      <c r="D799" s="19"/>
      <c r="E799" s="19"/>
      <c r="F799" s="19"/>
    </row>
    <row r="800" spans="1:6" ht="15.75" customHeight="1" x14ac:dyDescent="0.3">
      <c r="A800" s="19"/>
      <c r="B800" s="19"/>
      <c r="C800" s="19"/>
      <c r="D800" s="19"/>
      <c r="E800" s="19"/>
      <c r="F800" s="19"/>
    </row>
    <row r="801" spans="1:6" ht="15.75" customHeight="1" x14ac:dyDescent="0.3">
      <c r="A801" s="19"/>
      <c r="B801" s="19"/>
      <c r="C801" s="19"/>
      <c r="D801" s="19"/>
      <c r="E801" s="19"/>
      <c r="F801" s="19"/>
    </row>
    <row r="802" spans="1:6" ht="15.75" customHeight="1" x14ac:dyDescent="0.3">
      <c r="A802" s="19"/>
      <c r="B802" s="19"/>
      <c r="C802" s="19"/>
      <c r="D802" s="19"/>
      <c r="E802" s="19"/>
      <c r="F802" s="19"/>
    </row>
    <row r="803" spans="1:6" ht="15.75" customHeight="1" x14ac:dyDescent="0.3">
      <c r="A803" s="19"/>
      <c r="B803" s="19"/>
      <c r="C803" s="19"/>
      <c r="D803" s="19"/>
      <c r="E803" s="19"/>
      <c r="F803" s="19"/>
    </row>
    <row r="804" spans="1:6" ht="15.75" customHeight="1" x14ac:dyDescent="0.3">
      <c r="A804" s="19"/>
      <c r="B804" s="19"/>
      <c r="C804" s="19"/>
      <c r="D804" s="19"/>
      <c r="E804" s="19"/>
      <c r="F804" s="19"/>
    </row>
    <row r="805" spans="1:6" ht="15.75" customHeight="1" x14ac:dyDescent="0.3">
      <c r="A805" s="19"/>
      <c r="B805" s="19"/>
      <c r="C805" s="19"/>
      <c r="D805" s="19"/>
      <c r="E805" s="19"/>
      <c r="F805" s="19"/>
    </row>
    <row r="806" spans="1:6" ht="15.75" customHeight="1" x14ac:dyDescent="0.3">
      <c r="A806" s="19"/>
      <c r="B806" s="19"/>
      <c r="C806" s="19"/>
      <c r="D806" s="19"/>
      <c r="E806" s="19"/>
      <c r="F806" s="19"/>
    </row>
    <row r="807" spans="1:6" ht="15.75" customHeight="1" x14ac:dyDescent="0.3">
      <c r="A807" s="19"/>
      <c r="B807" s="19"/>
      <c r="C807" s="19"/>
      <c r="D807" s="19"/>
      <c r="E807" s="19"/>
      <c r="F807" s="19"/>
    </row>
    <row r="808" spans="1:6" ht="15.75" customHeight="1" x14ac:dyDescent="0.3">
      <c r="A808" s="19"/>
      <c r="B808" s="19"/>
      <c r="C808" s="19"/>
      <c r="D808" s="19"/>
      <c r="E808" s="19"/>
      <c r="F808" s="19"/>
    </row>
    <row r="809" spans="1:6" ht="15.75" customHeight="1" x14ac:dyDescent="0.3">
      <c r="A809" s="19"/>
      <c r="B809" s="19"/>
      <c r="C809" s="19"/>
      <c r="D809" s="19"/>
      <c r="E809" s="19"/>
      <c r="F809" s="19"/>
    </row>
    <row r="810" spans="1:6" ht="15.75" customHeight="1" x14ac:dyDescent="0.3">
      <c r="A810" s="19"/>
      <c r="B810" s="19"/>
      <c r="C810" s="19"/>
      <c r="D810" s="19"/>
      <c r="E810" s="19"/>
      <c r="F810" s="19"/>
    </row>
    <row r="811" spans="1:6" ht="15.75" customHeight="1" x14ac:dyDescent="0.3">
      <c r="A811" s="19"/>
      <c r="B811" s="19"/>
      <c r="C811" s="19"/>
      <c r="D811" s="19"/>
      <c r="E811" s="19"/>
      <c r="F811" s="19"/>
    </row>
    <row r="812" spans="1:6" ht="15.75" customHeight="1" x14ac:dyDescent="0.3">
      <c r="A812" s="19"/>
      <c r="B812" s="19"/>
      <c r="C812" s="19"/>
      <c r="D812" s="19"/>
      <c r="E812" s="19"/>
      <c r="F812" s="19"/>
    </row>
    <row r="813" spans="1:6" ht="15.75" customHeight="1" x14ac:dyDescent="0.3">
      <c r="A813" s="19"/>
      <c r="B813" s="19"/>
      <c r="C813" s="19"/>
      <c r="D813" s="19"/>
      <c r="E813" s="19"/>
      <c r="F813" s="19"/>
    </row>
    <row r="814" spans="1:6" ht="15.75" customHeight="1" x14ac:dyDescent="0.3">
      <c r="A814" s="19"/>
      <c r="B814" s="19"/>
      <c r="C814" s="19"/>
      <c r="D814" s="19"/>
      <c r="E814" s="19"/>
      <c r="F814" s="19"/>
    </row>
    <row r="815" spans="1:6" ht="15.75" customHeight="1" x14ac:dyDescent="0.3">
      <c r="A815" s="19"/>
      <c r="B815" s="19"/>
      <c r="C815" s="19"/>
      <c r="D815" s="19"/>
      <c r="E815" s="19"/>
      <c r="F815" s="19"/>
    </row>
    <row r="816" spans="1:6" ht="15.75" customHeight="1" x14ac:dyDescent="0.3">
      <c r="A816" s="19"/>
      <c r="B816" s="19"/>
      <c r="C816" s="19"/>
      <c r="D816" s="19"/>
      <c r="E816" s="19"/>
      <c r="F816" s="19"/>
    </row>
    <row r="817" spans="1:6" ht="15.75" customHeight="1" x14ac:dyDescent="0.3">
      <c r="A817" s="19"/>
      <c r="B817" s="19"/>
      <c r="C817" s="19"/>
      <c r="D817" s="19"/>
      <c r="E817" s="19"/>
      <c r="F817" s="19"/>
    </row>
    <row r="818" spans="1:6" ht="15.75" customHeight="1" x14ac:dyDescent="0.3">
      <c r="A818" s="19"/>
      <c r="B818" s="19"/>
      <c r="C818" s="19"/>
      <c r="D818" s="19"/>
      <c r="E818" s="19"/>
      <c r="F818" s="19"/>
    </row>
    <row r="819" spans="1:6" ht="15.75" customHeight="1" x14ac:dyDescent="0.3">
      <c r="A819" s="19"/>
      <c r="B819" s="19"/>
      <c r="C819" s="19"/>
      <c r="D819" s="19"/>
      <c r="E819" s="19"/>
      <c r="F819" s="19"/>
    </row>
    <row r="820" spans="1:6" ht="15.75" customHeight="1" x14ac:dyDescent="0.3">
      <c r="A820" s="19"/>
      <c r="B820" s="19"/>
      <c r="C820" s="19"/>
      <c r="D820" s="19"/>
      <c r="E820" s="19"/>
      <c r="F820" s="19"/>
    </row>
    <row r="821" spans="1:6" ht="15.75" customHeight="1" x14ac:dyDescent="0.3">
      <c r="A821" s="19"/>
      <c r="B821" s="19"/>
      <c r="C821" s="19"/>
      <c r="D821" s="19"/>
      <c r="E821" s="19"/>
      <c r="F821" s="19"/>
    </row>
    <row r="822" spans="1:6" ht="15.75" customHeight="1" x14ac:dyDescent="0.3">
      <c r="A822" s="19"/>
      <c r="B822" s="19"/>
      <c r="C822" s="19"/>
      <c r="D822" s="19"/>
      <c r="E822" s="19"/>
      <c r="F822" s="19"/>
    </row>
    <row r="823" spans="1:6" ht="15.75" customHeight="1" x14ac:dyDescent="0.3">
      <c r="A823" s="19"/>
      <c r="B823" s="19"/>
      <c r="C823" s="19"/>
      <c r="D823" s="19"/>
      <c r="E823" s="19"/>
      <c r="F823" s="19"/>
    </row>
    <row r="824" spans="1:6" ht="15.75" customHeight="1" x14ac:dyDescent="0.3">
      <c r="A824" s="19"/>
      <c r="B824" s="19"/>
      <c r="C824" s="19"/>
      <c r="D824" s="19"/>
      <c r="E824" s="19"/>
      <c r="F824" s="19"/>
    </row>
    <row r="825" spans="1:6" ht="15.75" customHeight="1" x14ac:dyDescent="0.3">
      <c r="A825" s="19"/>
      <c r="B825" s="19"/>
      <c r="C825" s="19"/>
      <c r="D825" s="19"/>
      <c r="E825" s="19"/>
      <c r="F825" s="19"/>
    </row>
    <row r="826" spans="1:6" ht="15.75" customHeight="1" x14ac:dyDescent="0.3">
      <c r="A826" s="19"/>
      <c r="B826" s="19"/>
      <c r="C826" s="19"/>
      <c r="D826" s="19"/>
      <c r="E826" s="19"/>
      <c r="F826" s="19"/>
    </row>
    <row r="827" spans="1:6" ht="15.75" customHeight="1" x14ac:dyDescent="0.3">
      <c r="A827" s="19"/>
      <c r="B827" s="19"/>
      <c r="C827" s="19"/>
      <c r="D827" s="19"/>
      <c r="E827" s="19"/>
      <c r="F827" s="19"/>
    </row>
    <row r="828" spans="1:6" ht="15.75" customHeight="1" x14ac:dyDescent="0.3">
      <c r="A828" s="19"/>
      <c r="B828" s="19"/>
      <c r="C828" s="19"/>
      <c r="D828" s="19"/>
      <c r="E828" s="19"/>
      <c r="F828" s="19"/>
    </row>
    <row r="829" spans="1:6" ht="15.75" customHeight="1" x14ac:dyDescent="0.3">
      <c r="A829" s="19"/>
      <c r="B829" s="19"/>
      <c r="C829" s="19"/>
      <c r="D829" s="19"/>
      <c r="E829" s="19"/>
      <c r="F829" s="19"/>
    </row>
    <row r="830" spans="1:6" ht="15.75" customHeight="1" x14ac:dyDescent="0.3">
      <c r="A830" s="19"/>
      <c r="B830" s="19"/>
      <c r="C830" s="19"/>
      <c r="D830" s="19"/>
      <c r="E830" s="19"/>
      <c r="F830" s="19"/>
    </row>
    <row r="831" spans="1:6" ht="15.75" customHeight="1" x14ac:dyDescent="0.3">
      <c r="A831" s="19"/>
      <c r="B831" s="19"/>
      <c r="C831" s="19"/>
      <c r="D831" s="19"/>
      <c r="E831" s="19"/>
      <c r="F831" s="19"/>
    </row>
    <row r="832" spans="1:6" ht="15.75" customHeight="1" x14ac:dyDescent="0.3">
      <c r="A832" s="19"/>
      <c r="B832" s="19"/>
      <c r="C832" s="19"/>
      <c r="D832" s="19"/>
      <c r="E832" s="19"/>
      <c r="F832" s="19"/>
    </row>
    <row r="833" spans="1:6" ht="15.75" customHeight="1" x14ac:dyDescent="0.3">
      <c r="A833" s="19"/>
      <c r="B833" s="19"/>
      <c r="C833" s="19"/>
      <c r="D833" s="19"/>
      <c r="E833" s="19"/>
      <c r="F833" s="19"/>
    </row>
    <row r="834" spans="1:6" ht="15.75" customHeight="1" x14ac:dyDescent="0.3">
      <c r="A834" s="19"/>
      <c r="B834" s="19"/>
      <c r="C834" s="19"/>
      <c r="D834" s="19"/>
      <c r="E834" s="19"/>
      <c r="F834" s="19"/>
    </row>
    <row r="835" spans="1:6" ht="15.75" customHeight="1" x14ac:dyDescent="0.3">
      <c r="A835" s="19"/>
      <c r="B835" s="19"/>
      <c r="C835" s="19"/>
      <c r="D835" s="19"/>
      <c r="E835" s="19"/>
      <c r="F835" s="19"/>
    </row>
    <row r="836" spans="1:6" ht="15.75" customHeight="1" x14ac:dyDescent="0.3">
      <c r="A836" s="19"/>
      <c r="B836" s="19"/>
      <c r="C836" s="19"/>
      <c r="D836" s="19"/>
      <c r="E836" s="19"/>
      <c r="F836" s="19"/>
    </row>
    <row r="837" spans="1:6" ht="15.75" customHeight="1" x14ac:dyDescent="0.3">
      <c r="A837" s="19"/>
      <c r="B837" s="19"/>
      <c r="C837" s="19"/>
      <c r="D837" s="19"/>
      <c r="E837" s="19"/>
      <c r="F837" s="19"/>
    </row>
    <row r="838" spans="1:6" ht="15.75" customHeight="1" x14ac:dyDescent="0.3">
      <c r="A838" s="19"/>
      <c r="B838" s="19"/>
      <c r="C838" s="19"/>
      <c r="D838" s="19"/>
      <c r="E838" s="19"/>
      <c r="F838" s="19"/>
    </row>
    <row r="839" spans="1:6" ht="15.75" customHeight="1" x14ac:dyDescent="0.3">
      <c r="A839" s="19"/>
      <c r="B839" s="19"/>
      <c r="C839" s="19"/>
      <c r="D839" s="19"/>
      <c r="E839" s="19"/>
      <c r="F839" s="19"/>
    </row>
    <row r="840" spans="1:6" ht="15.75" customHeight="1" x14ac:dyDescent="0.3">
      <c r="A840" s="19"/>
      <c r="B840" s="19"/>
      <c r="C840" s="19"/>
      <c r="D840" s="19"/>
      <c r="E840" s="19"/>
      <c r="F840" s="19"/>
    </row>
    <row r="841" spans="1:6" ht="15.75" customHeight="1" x14ac:dyDescent="0.3">
      <c r="A841" s="19"/>
      <c r="B841" s="19"/>
      <c r="C841" s="19"/>
      <c r="D841" s="19"/>
      <c r="E841" s="19"/>
      <c r="F841" s="19"/>
    </row>
    <row r="842" spans="1:6" ht="15.75" customHeight="1" x14ac:dyDescent="0.3">
      <c r="A842" s="19"/>
      <c r="B842" s="19"/>
      <c r="C842" s="19"/>
      <c r="D842" s="19"/>
      <c r="E842" s="19"/>
      <c r="F842" s="19"/>
    </row>
    <row r="843" spans="1:6" ht="15.75" customHeight="1" x14ac:dyDescent="0.3">
      <c r="A843" s="19"/>
      <c r="B843" s="19"/>
      <c r="C843" s="19"/>
      <c r="D843" s="19"/>
      <c r="E843" s="19"/>
      <c r="F843" s="19"/>
    </row>
    <row r="844" spans="1:6" ht="15.75" customHeight="1" x14ac:dyDescent="0.3">
      <c r="A844" s="19"/>
      <c r="B844" s="19"/>
      <c r="C844" s="19"/>
      <c r="D844" s="19"/>
      <c r="E844" s="19"/>
      <c r="F844" s="19"/>
    </row>
    <row r="845" spans="1:6" ht="15.75" customHeight="1" x14ac:dyDescent="0.3">
      <c r="A845" s="19"/>
      <c r="B845" s="19"/>
      <c r="C845" s="19"/>
      <c r="D845" s="19"/>
      <c r="E845" s="19"/>
      <c r="F845" s="19"/>
    </row>
    <row r="846" spans="1:6" ht="15.75" customHeight="1" x14ac:dyDescent="0.3">
      <c r="A846" s="19"/>
      <c r="B846" s="19"/>
      <c r="C846" s="19"/>
      <c r="D846" s="19"/>
      <c r="E846" s="19"/>
      <c r="F846" s="19"/>
    </row>
    <row r="847" spans="1:6" ht="15.75" customHeight="1" x14ac:dyDescent="0.3">
      <c r="A847" s="19"/>
      <c r="B847" s="19"/>
      <c r="C847" s="19"/>
      <c r="D847" s="19"/>
      <c r="E847" s="19"/>
      <c r="F847" s="19"/>
    </row>
    <row r="848" spans="1:6" ht="15.75" customHeight="1" x14ac:dyDescent="0.3">
      <c r="A848" s="19"/>
      <c r="B848" s="19"/>
      <c r="C848" s="19"/>
      <c r="D848" s="19"/>
      <c r="E848" s="19"/>
      <c r="F848" s="19"/>
    </row>
    <row r="849" spans="1:6" ht="15.75" customHeight="1" x14ac:dyDescent="0.3">
      <c r="A849" s="19"/>
      <c r="B849" s="19"/>
      <c r="C849" s="19"/>
      <c r="D849" s="19"/>
      <c r="E849" s="19"/>
      <c r="F849" s="19"/>
    </row>
    <row r="850" spans="1:6" ht="15.75" customHeight="1" x14ac:dyDescent="0.3">
      <c r="A850" s="19"/>
      <c r="B850" s="19"/>
      <c r="C850" s="19"/>
      <c r="D850" s="19"/>
      <c r="E850" s="19"/>
      <c r="F850" s="19"/>
    </row>
    <row r="851" spans="1:6" ht="15.75" customHeight="1" x14ac:dyDescent="0.3">
      <c r="A851" s="19"/>
      <c r="B851" s="19"/>
      <c r="C851" s="19"/>
      <c r="D851" s="19"/>
      <c r="E851" s="19"/>
      <c r="F851" s="19"/>
    </row>
    <row r="852" spans="1:6" ht="15.75" customHeight="1" x14ac:dyDescent="0.3">
      <c r="A852" s="19"/>
      <c r="B852" s="19"/>
      <c r="C852" s="19"/>
      <c r="D852" s="19"/>
      <c r="E852" s="19"/>
      <c r="F852" s="19"/>
    </row>
    <row r="853" spans="1:6" ht="15.75" customHeight="1" x14ac:dyDescent="0.3">
      <c r="A853" s="19"/>
      <c r="B853" s="19"/>
      <c r="C853" s="19"/>
      <c r="D853" s="19"/>
      <c r="E853" s="19"/>
      <c r="F853" s="19"/>
    </row>
    <row r="854" spans="1:6" ht="15.75" customHeight="1" x14ac:dyDescent="0.3">
      <c r="A854" s="19"/>
      <c r="B854" s="19"/>
      <c r="C854" s="19"/>
      <c r="D854" s="19"/>
      <c r="E854" s="19"/>
      <c r="F854" s="19"/>
    </row>
    <row r="855" spans="1:6" ht="15.75" customHeight="1" x14ac:dyDescent="0.3">
      <c r="A855" s="19"/>
      <c r="B855" s="19"/>
      <c r="C855" s="19"/>
      <c r="D855" s="19"/>
      <c r="E855" s="19"/>
      <c r="F855" s="19"/>
    </row>
    <row r="856" spans="1:6" ht="15.75" customHeight="1" x14ac:dyDescent="0.3">
      <c r="A856" s="19"/>
      <c r="B856" s="19"/>
      <c r="C856" s="19"/>
      <c r="D856" s="19"/>
      <c r="E856" s="19"/>
      <c r="F856" s="19"/>
    </row>
    <row r="857" spans="1:6" ht="15.75" customHeight="1" x14ac:dyDescent="0.3">
      <c r="A857" s="19"/>
      <c r="B857" s="19"/>
      <c r="C857" s="19"/>
      <c r="D857" s="19"/>
      <c r="E857" s="19"/>
      <c r="F857" s="19"/>
    </row>
    <row r="858" spans="1:6" ht="15.75" customHeight="1" x14ac:dyDescent="0.3">
      <c r="A858" s="19"/>
      <c r="B858" s="19"/>
      <c r="C858" s="19"/>
      <c r="D858" s="19"/>
      <c r="E858" s="19"/>
      <c r="F858" s="19"/>
    </row>
    <row r="859" spans="1:6" ht="15.75" customHeight="1" x14ac:dyDescent="0.3">
      <c r="A859" s="19"/>
      <c r="B859" s="19"/>
      <c r="C859" s="19"/>
      <c r="D859" s="19"/>
      <c r="E859" s="19"/>
      <c r="F859" s="19"/>
    </row>
    <row r="860" spans="1:6" ht="15.75" customHeight="1" x14ac:dyDescent="0.3">
      <c r="A860" s="19"/>
      <c r="B860" s="19"/>
      <c r="C860" s="19"/>
      <c r="D860" s="19"/>
      <c r="E860" s="19"/>
      <c r="F860" s="19"/>
    </row>
    <row r="861" spans="1:6" ht="15.75" customHeight="1" x14ac:dyDescent="0.3">
      <c r="A861" s="19"/>
      <c r="B861" s="19"/>
      <c r="C861" s="19"/>
      <c r="D861" s="19"/>
      <c r="E861" s="19"/>
      <c r="F861" s="19"/>
    </row>
    <row r="862" spans="1:6" ht="15.75" customHeight="1" x14ac:dyDescent="0.3">
      <c r="A862" s="19"/>
      <c r="B862" s="19"/>
      <c r="C862" s="19"/>
      <c r="D862" s="19"/>
      <c r="E862" s="19"/>
      <c r="F862" s="19"/>
    </row>
    <row r="863" spans="1:6" ht="15.75" customHeight="1" x14ac:dyDescent="0.3">
      <c r="A863" s="19"/>
      <c r="B863" s="19"/>
      <c r="C863" s="19"/>
      <c r="D863" s="19"/>
      <c r="E863" s="19"/>
      <c r="F863" s="19"/>
    </row>
    <row r="864" spans="1:6" ht="15.75" customHeight="1" x14ac:dyDescent="0.3">
      <c r="A864" s="19"/>
      <c r="B864" s="19"/>
      <c r="C864" s="19"/>
      <c r="D864" s="19"/>
      <c r="E864" s="19"/>
      <c r="F864" s="19"/>
    </row>
    <row r="865" spans="1:6" ht="15.75" customHeight="1" x14ac:dyDescent="0.3">
      <c r="A865" s="19"/>
      <c r="B865" s="19"/>
      <c r="C865" s="19"/>
      <c r="D865" s="19"/>
      <c r="E865" s="19"/>
      <c r="F865" s="19"/>
    </row>
    <row r="866" spans="1:6" ht="15.75" customHeight="1" x14ac:dyDescent="0.3">
      <c r="A866" s="19"/>
      <c r="B866" s="19"/>
      <c r="C866" s="19"/>
      <c r="D866" s="19"/>
      <c r="E866" s="19"/>
      <c r="F866" s="19"/>
    </row>
    <row r="867" spans="1:6" ht="15.75" customHeight="1" x14ac:dyDescent="0.3">
      <c r="A867" s="19"/>
      <c r="B867" s="19"/>
      <c r="C867" s="19"/>
      <c r="D867" s="19"/>
      <c r="E867" s="19"/>
      <c r="F867" s="19"/>
    </row>
    <row r="868" spans="1:6" ht="15.75" customHeight="1" x14ac:dyDescent="0.3">
      <c r="A868" s="19"/>
      <c r="B868" s="19"/>
      <c r="C868" s="19"/>
      <c r="D868" s="19"/>
      <c r="E868" s="19"/>
      <c r="F868" s="19"/>
    </row>
    <row r="869" spans="1:6" ht="15.75" customHeight="1" x14ac:dyDescent="0.3">
      <c r="A869" s="19"/>
      <c r="B869" s="19"/>
      <c r="C869" s="19"/>
      <c r="D869" s="19"/>
      <c r="E869" s="19"/>
      <c r="F869" s="19"/>
    </row>
    <row r="870" spans="1:6" ht="15.75" customHeight="1" x14ac:dyDescent="0.3">
      <c r="A870" s="19"/>
      <c r="B870" s="19"/>
      <c r="C870" s="19"/>
      <c r="D870" s="19"/>
      <c r="E870" s="19"/>
      <c r="F870" s="19"/>
    </row>
    <row r="871" spans="1:6" ht="15.75" customHeight="1" x14ac:dyDescent="0.3">
      <c r="A871" s="19"/>
      <c r="B871" s="19"/>
      <c r="C871" s="19"/>
      <c r="D871" s="19"/>
      <c r="E871" s="19"/>
      <c r="F871" s="19"/>
    </row>
    <row r="872" spans="1:6" ht="15.75" customHeight="1" x14ac:dyDescent="0.3">
      <c r="A872" s="19"/>
      <c r="B872" s="19"/>
      <c r="C872" s="19"/>
      <c r="D872" s="19"/>
      <c r="E872" s="19"/>
      <c r="F872" s="19"/>
    </row>
    <row r="873" spans="1:6" ht="15.75" customHeight="1" x14ac:dyDescent="0.3">
      <c r="A873" s="19"/>
      <c r="B873" s="19"/>
      <c r="C873" s="19"/>
      <c r="D873" s="19"/>
      <c r="E873" s="19"/>
      <c r="F873" s="19"/>
    </row>
    <row r="874" spans="1:6" ht="15.75" customHeight="1" x14ac:dyDescent="0.3">
      <c r="A874" s="19"/>
      <c r="B874" s="19"/>
      <c r="C874" s="19"/>
      <c r="D874" s="19"/>
      <c r="E874" s="19"/>
      <c r="F874" s="19"/>
    </row>
    <row r="875" spans="1:6" ht="15.75" customHeight="1" x14ac:dyDescent="0.3">
      <c r="A875" s="19"/>
      <c r="B875" s="19"/>
      <c r="C875" s="19"/>
      <c r="D875" s="19"/>
      <c r="E875" s="19"/>
      <c r="F875" s="19"/>
    </row>
    <row r="876" spans="1:6" ht="15.75" customHeight="1" x14ac:dyDescent="0.3">
      <c r="A876" s="19"/>
      <c r="B876" s="19"/>
      <c r="C876" s="19"/>
      <c r="D876" s="19"/>
      <c r="E876" s="19"/>
      <c r="F876" s="19"/>
    </row>
    <row r="877" spans="1:6" ht="15.75" customHeight="1" x14ac:dyDescent="0.3">
      <c r="A877" s="19"/>
      <c r="B877" s="19"/>
      <c r="C877" s="19"/>
      <c r="D877" s="19"/>
      <c r="E877" s="19"/>
      <c r="F877" s="19"/>
    </row>
    <row r="878" spans="1:6" ht="15.75" customHeight="1" x14ac:dyDescent="0.3">
      <c r="A878" s="19"/>
      <c r="B878" s="19"/>
      <c r="C878" s="19"/>
      <c r="D878" s="19"/>
      <c r="E878" s="19"/>
      <c r="F878" s="19"/>
    </row>
    <row r="879" spans="1:6" ht="15.75" customHeight="1" x14ac:dyDescent="0.3">
      <c r="A879" s="19"/>
      <c r="B879" s="19"/>
      <c r="C879" s="19"/>
      <c r="D879" s="19"/>
      <c r="E879" s="19"/>
      <c r="F879" s="19"/>
    </row>
    <row r="880" spans="1:6" ht="15.75" customHeight="1" x14ac:dyDescent="0.3">
      <c r="A880" s="19"/>
      <c r="B880" s="19"/>
      <c r="C880" s="19"/>
      <c r="D880" s="19"/>
      <c r="E880" s="19"/>
      <c r="F880" s="19"/>
    </row>
    <row r="881" spans="1:6" ht="15.75" customHeight="1" x14ac:dyDescent="0.3">
      <c r="A881" s="19"/>
      <c r="B881" s="19"/>
      <c r="C881" s="19"/>
      <c r="D881" s="19"/>
      <c r="E881" s="19"/>
      <c r="F881" s="19"/>
    </row>
    <row r="882" spans="1:6" ht="15.75" customHeight="1" x14ac:dyDescent="0.3">
      <c r="A882" s="19"/>
      <c r="B882" s="19"/>
      <c r="C882" s="19"/>
      <c r="D882" s="19"/>
      <c r="E882" s="19"/>
      <c r="F882" s="19"/>
    </row>
    <row r="883" spans="1:6" ht="15.75" customHeight="1" x14ac:dyDescent="0.3">
      <c r="A883" s="19"/>
      <c r="B883" s="19"/>
      <c r="C883" s="19"/>
      <c r="D883" s="19"/>
      <c r="E883" s="19"/>
      <c r="F883" s="19"/>
    </row>
    <row r="884" spans="1:6" ht="15.75" customHeight="1" x14ac:dyDescent="0.3">
      <c r="A884" s="19"/>
      <c r="B884" s="19"/>
      <c r="C884" s="19"/>
      <c r="D884" s="19"/>
      <c r="E884" s="19"/>
      <c r="F884" s="19"/>
    </row>
    <row r="885" spans="1:6" ht="15.75" customHeight="1" x14ac:dyDescent="0.3">
      <c r="A885" s="19"/>
      <c r="B885" s="19"/>
      <c r="C885" s="19"/>
      <c r="D885" s="19"/>
      <c r="E885" s="19"/>
      <c r="F885" s="19"/>
    </row>
    <row r="886" spans="1:6" ht="15.75" customHeight="1" x14ac:dyDescent="0.3">
      <c r="A886" s="19"/>
      <c r="B886" s="19"/>
      <c r="C886" s="19"/>
      <c r="D886" s="19"/>
      <c r="E886" s="19"/>
      <c r="F886" s="19"/>
    </row>
    <row r="887" spans="1:6" ht="15.75" customHeight="1" x14ac:dyDescent="0.3">
      <c r="A887" s="19"/>
      <c r="B887" s="19"/>
      <c r="C887" s="19"/>
      <c r="D887" s="19"/>
      <c r="E887" s="19"/>
      <c r="F887" s="19"/>
    </row>
    <row r="888" spans="1:6" ht="15.75" customHeight="1" x14ac:dyDescent="0.3">
      <c r="A888" s="19"/>
      <c r="B888" s="19"/>
      <c r="C888" s="19"/>
      <c r="D888" s="19"/>
      <c r="E888" s="19"/>
      <c r="F888" s="19"/>
    </row>
    <row r="889" spans="1:6" ht="15.75" customHeight="1" x14ac:dyDescent="0.3">
      <c r="A889" s="19"/>
      <c r="B889" s="19"/>
      <c r="C889" s="19"/>
      <c r="D889" s="19"/>
      <c r="E889" s="19"/>
      <c r="F889" s="19"/>
    </row>
    <row r="890" spans="1:6" ht="15.75" customHeight="1" x14ac:dyDescent="0.3">
      <c r="A890" s="19"/>
      <c r="B890" s="19"/>
      <c r="C890" s="19"/>
      <c r="D890" s="19"/>
      <c r="E890" s="19"/>
      <c r="F890" s="19"/>
    </row>
    <row r="891" spans="1:6" ht="15.75" customHeight="1" x14ac:dyDescent="0.3">
      <c r="A891" s="19"/>
      <c r="B891" s="19"/>
      <c r="C891" s="19"/>
      <c r="D891" s="19"/>
      <c r="E891" s="19"/>
      <c r="F891" s="19"/>
    </row>
    <row r="892" spans="1:6" ht="15.75" customHeight="1" x14ac:dyDescent="0.3">
      <c r="A892" s="19"/>
      <c r="B892" s="19"/>
      <c r="C892" s="19"/>
      <c r="D892" s="19"/>
      <c r="E892" s="19"/>
      <c r="F892" s="19"/>
    </row>
    <row r="893" spans="1:6" ht="15.75" customHeight="1" x14ac:dyDescent="0.3">
      <c r="A893" s="19"/>
      <c r="B893" s="19"/>
      <c r="C893" s="19"/>
      <c r="D893" s="19"/>
      <c r="E893" s="19"/>
      <c r="F893" s="19"/>
    </row>
    <row r="894" spans="1:6" ht="15.75" customHeight="1" x14ac:dyDescent="0.3">
      <c r="A894" s="19"/>
      <c r="B894" s="19"/>
      <c r="C894" s="19"/>
      <c r="D894" s="19"/>
      <c r="E894" s="19"/>
      <c r="F894" s="19"/>
    </row>
    <row r="895" spans="1:6" ht="15.75" customHeight="1" x14ac:dyDescent="0.3">
      <c r="A895" s="19"/>
      <c r="B895" s="19"/>
      <c r="C895" s="19"/>
      <c r="D895" s="19"/>
      <c r="E895" s="19"/>
      <c r="F895" s="19"/>
    </row>
    <row r="896" spans="1:6" ht="15.75" customHeight="1" x14ac:dyDescent="0.3">
      <c r="A896" s="19"/>
      <c r="B896" s="19"/>
      <c r="C896" s="19"/>
      <c r="D896" s="19"/>
      <c r="E896" s="19"/>
      <c r="F896" s="19"/>
    </row>
    <row r="897" spans="1:6" ht="15.75" customHeight="1" x14ac:dyDescent="0.3">
      <c r="A897" s="19"/>
      <c r="B897" s="19"/>
      <c r="C897" s="19"/>
      <c r="D897" s="19"/>
      <c r="E897" s="19"/>
      <c r="F897" s="19"/>
    </row>
    <row r="898" spans="1:6" ht="15.75" customHeight="1" x14ac:dyDescent="0.3">
      <c r="A898" s="19"/>
      <c r="B898" s="19"/>
      <c r="C898" s="19"/>
      <c r="D898" s="19"/>
      <c r="E898" s="19"/>
      <c r="F898" s="19"/>
    </row>
    <row r="899" spans="1:6" ht="15.75" customHeight="1" x14ac:dyDescent="0.3">
      <c r="A899" s="19"/>
      <c r="B899" s="19"/>
      <c r="C899" s="19"/>
      <c r="D899" s="19"/>
      <c r="E899" s="19"/>
      <c r="F899" s="19"/>
    </row>
    <row r="900" spans="1:6" ht="15.75" customHeight="1" x14ac:dyDescent="0.3">
      <c r="A900" s="19"/>
      <c r="B900" s="19"/>
      <c r="C900" s="19"/>
      <c r="D900" s="19"/>
      <c r="E900" s="19"/>
      <c r="F900" s="19"/>
    </row>
    <row r="901" spans="1:6" ht="15.75" customHeight="1" x14ac:dyDescent="0.3">
      <c r="A901" s="19"/>
      <c r="B901" s="19"/>
      <c r="C901" s="19"/>
      <c r="D901" s="19"/>
      <c r="E901" s="19"/>
      <c r="F901" s="19"/>
    </row>
    <row r="902" spans="1:6" ht="15.75" customHeight="1" x14ac:dyDescent="0.3">
      <c r="A902" s="19"/>
      <c r="B902" s="19"/>
      <c r="C902" s="19"/>
      <c r="D902" s="19"/>
      <c r="E902" s="19"/>
      <c r="F902" s="19"/>
    </row>
    <row r="903" spans="1:6" ht="15.75" customHeight="1" x14ac:dyDescent="0.3">
      <c r="A903" s="19"/>
      <c r="B903" s="19"/>
      <c r="C903" s="19"/>
      <c r="D903" s="19"/>
      <c r="E903" s="19"/>
      <c r="F903" s="19"/>
    </row>
    <row r="904" spans="1:6" ht="15.75" customHeight="1" x14ac:dyDescent="0.3">
      <c r="A904" s="19"/>
      <c r="B904" s="19"/>
      <c r="C904" s="19"/>
      <c r="D904" s="19"/>
      <c r="E904" s="19"/>
      <c r="F904" s="19"/>
    </row>
    <row r="905" spans="1:6" ht="15.75" customHeight="1" x14ac:dyDescent="0.3">
      <c r="A905" s="19"/>
      <c r="B905" s="19"/>
      <c r="C905" s="19"/>
      <c r="D905" s="19"/>
      <c r="E905" s="19"/>
      <c r="F905" s="19"/>
    </row>
    <row r="906" spans="1:6" ht="15.75" customHeight="1" x14ac:dyDescent="0.3">
      <c r="A906" s="19"/>
      <c r="B906" s="19"/>
      <c r="C906" s="19"/>
      <c r="D906" s="19"/>
      <c r="E906" s="19"/>
      <c r="F906" s="19"/>
    </row>
    <row r="907" spans="1:6" ht="15.75" customHeight="1" x14ac:dyDescent="0.3">
      <c r="A907" s="19"/>
      <c r="B907" s="19"/>
      <c r="C907" s="19"/>
      <c r="D907" s="19"/>
      <c r="E907" s="19"/>
      <c r="F907" s="19"/>
    </row>
    <row r="908" spans="1:6" ht="15.75" customHeight="1" x14ac:dyDescent="0.3">
      <c r="A908" s="19"/>
      <c r="B908" s="19"/>
      <c r="C908" s="19"/>
      <c r="D908" s="19"/>
      <c r="E908" s="19"/>
      <c r="F908" s="19"/>
    </row>
    <row r="909" spans="1:6" ht="15.75" customHeight="1" x14ac:dyDescent="0.3">
      <c r="A909" s="19"/>
      <c r="B909" s="19"/>
      <c r="C909" s="19"/>
      <c r="D909" s="19"/>
      <c r="E909" s="19"/>
      <c r="F909" s="19"/>
    </row>
    <row r="910" spans="1:6" ht="15.75" customHeight="1" x14ac:dyDescent="0.3">
      <c r="A910" s="19"/>
      <c r="B910" s="19"/>
      <c r="C910" s="19"/>
      <c r="D910" s="19"/>
      <c r="E910" s="19"/>
      <c r="F910" s="19"/>
    </row>
    <row r="911" spans="1:6" ht="15.75" customHeight="1" x14ac:dyDescent="0.3">
      <c r="A911" s="19"/>
      <c r="B911" s="19"/>
      <c r="C911" s="19"/>
      <c r="D911" s="19"/>
      <c r="E911" s="19"/>
      <c r="F911" s="19"/>
    </row>
    <row r="912" spans="1:6" ht="15.75" customHeight="1" x14ac:dyDescent="0.3">
      <c r="A912" s="19"/>
      <c r="B912" s="19"/>
      <c r="C912" s="19"/>
      <c r="D912" s="19"/>
      <c r="E912" s="19"/>
      <c r="F912" s="19"/>
    </row>
    <row r="913" spans="1:6" ht="15.75" customHeight="1" x14ac:dyDescent="0.3">
      <c r="A913" s="19"/>
      <c r="B913" s="19"/>
      <c r="C913" s="19"/>
      <c r="D913" s="19"/>
      <c r="E913" s="19"/>
      <c r="F913" s="19"/>
    </row>
    <row r="914" spans="1:6" ht="15.75" customHeight="1" x14ac:dyDescent="0.3">
      <c r="A914" s="19"/>
      <c r="B914" s="19"/>
      <c r="C914" s="19"/>
      <c r="D914" s="19"/>
      <c r="E914" s="19"/>
      <c r="F914" s="19"/>
    </row>
    <row r="915" spans="1:6" ht="15.75" customHeight="1" x14ac:dyDescent="0.3">
      <c r="A915" s="19"/>
      <c r="B915" s="19"/>
      <c r="C915" s="19"/>
      <c r="D915" s="19"/>
      <c r="E915" s="19"/>
      <c r="F915" s="19"/>
    </row>
    <row r="916" spans="1:6" ht="15.75" customHeight="1" x14ac:dyDescent="0.3">
      <c r="A916" s="19"/>
      <c r="B916" s="19"/>
      <c r="C916" s="19"/>
      <c r="D916" s="19"/>
      <c r="E916" s="19"/>
      <c r="F916" s="19"/>
    </row>
    <row r="917" spans="1:6" ht="15.75" customHeight="1" x14ac:dyDescent="0.3">
      <c r="A917" s="19"/>
      <c r="B917" s="19"/>
      <c r="C917" s="19"/>
      <c r="D917" s="19"/>
      <c r="E917" s="19"/>
      <c r="F917" s="19"/>
    </row>
    <row r="918" spans="1:6" ht="15.75" customHeight="1" x14ac:dyDescent="0.3">
      <c r="A918" s="19"/>
      <c r="B918" s="19"/>
      <c r="C918" s="19"/>
      <c r="D918" s="19"/>
      <c r="E918" s="19"/>
      <c r="F918" s="19"/>
    </row>
    <row r="919" spans="1:6" ht="15.75" customHeight="1" x14ac:dyDescent="0.3">
      <c r="A919" s="19"/>
      <c r="B919" s="19"/>
      <c r="C919" s="19"/>
      <c r="D919" s="19"/>
      <c r="E919" s="19"/>
      <c r="F919" s="19"/>
    </row>
    <row r="920" spans="1:6" ht="15.75" customHeight="1" x14ac:dyDescent="0.3">
      <c r="A920" s="19"/>
      <c r="B920" s="19"/>
      <c r="C920" s="19"/>
      <c r="D920" s="19"/>
      <c r="E920" s="19"/>
      <c r="F920" s="19"/>
    </row>
    <row r="921" spans="1:6" ht="15.75" customHeight="1" x14ac:dyDescent="0.3">
      <c r="A921" s="19"/>
      <c r="B921" s="19"/>
      <c r="C921" s="19"/>
      <c r="D921" s="19"/>
      <c r="E921" s="19"/>
      <c r="F921" s="19"/>
    </row>
    <row r="922" spans="1:6" ht="15.75" customHeight="1" x14ac:dyDescent="0.3">
      <c r="A922" s="19"/>
      <c r="B922" s="19"/>
      <c r="C922" s="19"/>
      <c r="D922" s="19"/>
      <c r="E922" s="19"/>
      <c r="F922" s="19"/>
    </row>
    <row r="923" spans="1:6" ht="15.75" customHeight="1" x14ac:dyDescent="0.3">
      <c r="A923" s="19"/>
      <c r="B923" s="19"/>
      <c r="C923" s="19"/>
      <c r="D923" s="19"/>
      <c r="E923" s="19"/>
      <c r="F923" s="19"/>
    </row>
    <row r="924" spans="1:6" ht="15.75" customHeight="1" x14ac:dyDescent="0.3">
      <c r="A924" s="19"/>
      <c r="B924" s="19"/>
      <c r="C924" s="19"/>
      <c r="D924" s="19"/>
      <c r="E924" s="19"/>
      <c r="F924" s="19"/>
    </row>
    <row r="925" spans="1:6" ht="15.75" customHeight="1" x14ac:dyDescent="0.3">
      <c r="A925" s="19"/>
      <c r="B925" s="19"/>
      <c r="C925" s="19"/>
      <c r="D925" s="19"/>
      <c r="E925" s="19"/>
      <c r="F925" s="19"/>
    </row>
    <row r="926" spans="1:6" ht="15.75" customHeight="1" x14ac:dyDescent="0.3">
      <c r="A926" s="19"/>
      <c r="B926" s="19"/>
      <c r="C926" s="19"/>
      <c r="D926" s="19"/>
      <c r="E926" s="19"/>
      <c r="F926" s="19"/>
    </row>
    <row r="927" spans="1:6" ht="15.75" customHeight="1" x14ac:dyDescent="0.3">
      <c r="A927" s="19"/>
      <c r="B927" s="19"/>
      <c r="C927" s="19"/>
      <c r="D927" s="19"/>
      <c r="E927" s="19"/>
      <c r="F927" s="19"/>
    </row>
    <row r="928" spans="1:6" ht="15.75" customHeight="1" x14ac:dyDescent="0.3">
      <c r="A928" s="19"/>
      <c r="B928" s="19"/>
      <c r="C928" s="19"/>
      <c r="D928" s="19"/>
      <c r="E928" s="19"/>
      <c r="F928" s="19"/>
    </row>
    <row r="929" spans="1:6" ht="15.75" customHeight="1" x14ac:dyDescent="0.3">
      <c r="A929" s="19"/>
      <c r="B929" s="19"/>
      <c r="C929" s="19"/>
      <c r="D929" s="19"/>
      <c r="E929" s="19"/>
      <c r="F929" s="19"/>
    </row>
    <row r="930" spans="1:6" ht="15.75" customHeight="1" x14ac:dyDescent="0.3">
      <c r="A930" s="19"/>
      <c r="B930" s="19"/>
      <c r="C930" s="19"/>
      <c r="D930" s="19"/>
      <c r="E930" s="19"/>
      <c r="F930" s="19"/>
    </row>
    <row r="931" spans="1:6" ht="15.75" customHeight="1" x14ac:dyDescent="0.3">
      <c r="A931" s="19"/>
      <c r="B931" s="19"/>
      <c r="C931" s="19"/>
      <c r="D931" s="19"/>
      <c r="E931" s="19"/>
      <c r="F931" s="19"/>
    </row>
    <row r="932" spans="1:6" ht="15.75" customHeight="1" x14ac:dyDescent="0.3">
      <c r="A932" s="19"/>
      <c r="B932" s="19"/>
      <c r="C932" s="19"/>
      <c r="D932" s="19"/>
      <c r="E932" s="19"/>
      <c r="F932" s="19"/>
    </row>
    <row r="933" spans="1:6" ht="15.75" customHeight="1" x14ac:dyDescent="0.3">
      <c r="A933" s="19"/>
      <c r="B933" s="19"/>
      <c r="C933" s="19"/>
      <c r="D933" s="19"/>
      <c r="E933" s="19"/>
      <c r="F933" s="19"/>
    </row>
    <row r="934" spans="1:6" ht="15.75" customHeight="1" x14ac:dyDescent="0.3">
      <c r="A934" s="19"/>
      <c r="B934" s="19"/>
      <c r="C934" s="19"/>
      <c r="D934" s="19"/>
      <c r="E934" s="19"/>
      <c r="F934" s="19"/>
    </row>
    <row r="935" spans="1:6" ht="15.75" customHeight="1" x14ac:dyDescent="0.3">
      <c r="A935" s="19"/>
      <c r="B935" s="19"/>
      <c r="C935" s="19"/>
      <c r="D935" s="19"/>
      <c r="E935" s="19"/>
      <c r="F935" s="19"/>
    </row>
    <row r="936" spans="1:6" ht="15.75" customHeight="1" x14ac:dyDescent="0.3">
      <c r="A936" s="19"/>
      <c r="B936" s="19"/>
      <c r="C936" s="19"/>
      <c r="D936" s="19"/>
      <c r="E936" s="19"/>
      <c r="F936" s="19"/>
    </row>
    <row r="937" spans="1:6" ht="15.75" customHeight="1" x14ac:dyDescent="0.3">
      <c r="A937" s="19"/>
      <c r="B937" s="19"/>
      <c r="C937" s="19"/>
      <c r="D937" s="19"/>
      <c r="E937" s="19"/>
      <c r="F937" s="19"/>
    </row>
    <row r="938" spans="1:6" ht="15.75" customHeight="1" x14ac:dyDescent="0.3">
      <c r="A938" s="19"/>
      <c r="B938" s="19"/>
      <c r="C938" s="19"/>
      <c r="D938" s="19"/>
      <c r="E938" s="19"/>
      <c r="F938" s="19"/>
    </row>
    <row r="939" spans="1:6" ht="15.75" customHeight="1" x14ac:dyDescent="0.3">
      <c r="A939" s="19"/>
      <c r="B939" s="19"/>
      <c r="C939" s="19"/>
      <c r="D939" s="19"/>
      <c r="E939" s="19"/>
      <c r="F939" s="19"/>
    </row>
    <row r="940" spans="1:6" ht="15.75" customHeight="1" x14ac:dyDescent="0.3">
      <c r="A940" s="19"/>
      <c r="B940" s="19"/>
      <c r="C940" s="19"/>
      <c r="D940" s="19"/>
      <c r="E940" s="19"/>
      <c r="F940" s="19"/>
    </row>
    <row r="941" spans="1:6" ht="15.75" customHeight="1" x14ac:dyDescent="0.3">
      <c r="A941" s="19"/>
      <c r="B941" s="19"/>
      <c r="C941" s="19"/>
      <c r="D941" s="19"/>
      <c r="E941" s="19"/>
      <c r="F941" s="19"/>
    </row>
    <row r="942" spans="1:6" ht="15.75" customHeight="1" x14ac:dyDescent="0.3">
      <c r="A942" s="19"/>
      <c r="B942" s="19"/>
      <c r="C942" s="19"/>
      <c r="D942" s="19"/>
      <c r="E942" s="19"/>
      <c r="F942" s="19"/>
    </row>
    <row r="943" spans="1:6" ht="15.75" customHeight="1" x14ac:dyDescent="0.3">
      <c r="A943" s="19"/>
      <c r="B943" s="19"/>
      <c r="C943" s="19"/>
      <c r="D943" s="19"/>
      <c r="E943" s="19"/>
      <c r="F943" s="19"/>
    </row>
    <row r="944" spans="1:6" ht="15.75" customHeight="1" x14ac:dyDescent="0.3">
      <c r="A944" s="19"/>
      <c r="B944" s="19"/>
      <c r="C944" s="19"/>
      <c r="D944" s="19"/>
      <c r="E944" s="19"/>
      <c r="F944" s="19"/>
    </row>
    <row r="945" spans="1:6" ht="15.75" customHeight="1" x14ac:dyDescent="0.3">
      <c r="A945" s="19"/>
      <c r="B945" s="19"/>
      <c r="C945" s="19"/>
      <c r="D945" s="19"/>
      <c r="E945" s="19"/>
      <c r="F945" s="19"/>
    </row>
    <row r="946" spans="1:6" ht="15.75" customHeight="1" x14ac:dyDescent="0.3">
      <c r="A946" s="19"/>
      <c r="B946" s="19"/>
      <c r="C946" s="19"/>
      <c r="D946" s="19"/>
      <c r="E946" s="19"/>
      <c r="F946" s="19"/>
    </row>
    <row r="947" spans="1:6" ht="15.75" customHeight="1" x14ac:dyDescent="0.3">
      <c r="A947" s="19"/>
      <c r="B947" s="19"/>
      <c r="C947" s="19"/>
      <c r="D947" s="19"/>
      <c r="E947" s="19"/>
      <c r="F947" s="19"/>
    </row>
    <row r="948" spans="1:6" ht="15.75" customHeight="1" x14ac:dyDescent="0.3">
      <c r="A948" s="19"/>
      <c r="B948" s="19"/>
      <c r="C948" s="19"/>
      <c r="D948" s="19"/>
      <c r="E948" s="19"/>
      <c r="F948" s="19"/>
    </row>
    <row r="949" spans="1:6" ht="15.75" customHeight="1" x14ac:dyDescent="0.3">
      <c r="A949" s="19"/>
      <c r="B949" s="19"/>
      <c r="C949" s="19"/>
      <c r="D949" s="19"/>
      <c r="E949" s="19"/>
      <c r="F949" s="19"/>
    </row>
    <row r="950" spans="1:6" ht="15.75" customHeight="1" x14ac:dyDescent="0.3">
      <c r="A950" s="19"/>
      <c r="B950" s="19"/>
      <c r="C950" s="19"/>
      <c r="D950" s="19"/>
      <c r="E950" s="19"/>
      <c r="F950" s="19"/>
    </row>
    <row r="951" spans="1:6" ht="15.75" customHeight="1" x14ac:dyDescent="0.3">
      <c r="A951" s="19"/>
      <c r="B951" s="19"/>
      <c r="C951" s="19"/>
      <c r="D951" s="19"/>
      <c r="E951" s="19"/>
      <c r="F951" s="19"/>
    </row>
    <row r="952" spans="1:6" ht="15.75" customHeight="1" x14ac:dyDescent="0.3">
      <c r="A952" s="19"/>
      <c r="B952" s="19"/>
      <c r="C952" s="19"/>
      <c r="D952" s="19"/>
      <c r="E952" s="19"/>
      <c r="F952" s="19"/>
    </row>
    <row r="953" spans="1:6" ht="15.75" customHeight="1" x14ac:dyDescent="0.3">
      <c r="A953" s="19"/>
      <c r="B953" s="19"/>
      <c r="C953" s="19"/>
      <c r="D953" s="19"/>
      <c r="E953" s="19"/>
      <c r="F953" s="19"/>
    </row>
    <row r="954" spans="1:6" ht="15.75" customHeight="1" x14ac:dyDescent="0.3">
      <c r="A954" s="19"/>
      <c r="B954" s="19"/>
      <c r="C954" s="19"/>
      <c r="D954" s="19"/>
      <c r="E954" s="19"/>
      <c r="F954" s="19"/>
    </row>
    <row r="955" spans="1:6" ht="15.75" customHeight="1" x14ac:dyDescent="0.3">
      <c r="A955" s="19"/>
      <c r="B955" s="19"/>
      <c r="C955" s="19"/>
      <c r="D955" s="19"/>
      <c r="E955" s="19"/>
      <c r="F955" s="19"/>
    </row>
    <row r="956" spans="1:6" ht="15.75" customHeight="1" x14ac:dyDescent="0.3">
      <c r="A956" s="19"/>
      <c r="B956" s="19"/>
      <c r="C956" s="19"/>
      <c r="D956" s="19"/>
      <c r="E956" s="19"/>
      <c r="F956" s="19"/>
    </row>
    <row r="957" spans="1:6" ht="15.75" customHeight="1" x14ac:dyDescent="0.3">
      <c r="A957" s="19"/>
      <c r="B957" s="19"/>
      <c r="C957" s="19"/>
      <c r="D957" s="19"/>
      <c r="E957" s="19"/>
      <c r="F957" s="19"/>
    </row>
    <row r="958" spans="1:6" ht="15.75" customHeight="1" x14ac:dyDescent="0.3">
      <c r="A958" s="19"/>
      <c r="B958" s="19"/>
      <c r="C958" s="19"/>
      <c r="D958" s="19"/>
      <c r="E958" s="19"/>
      <c r="F958" s="19"/>
    </row>
    <row r="959" spans="1:6" ht="15.75" customHeight="1" x14ac:dyDescent="0.3">
      <c r="A959" s="19"/>
      <c r="B959" s="19"/>
      <c r="C959" s="19"/>
      <c r="D959" s="19"/>
      <c r="E959" s="19"/>
      <c r="F959" s="19"/>
    </row>
    <row r="960" spans="1:6" ht="15.75" customHeight="1" x14ac:dyDescent="0.3">
      <c r="A960" s="19"/>
      <c r="B960" s="19"/>
      <c r="C960" s="19"/>
      <c r="D960" s="19"/>
      <c r="E960" s="19"/>
      <c r="F960" s="19"/>
    </row>
    <row r="961" spans="1:6" ht="15.75" customHeight="1" x14ac:dyDescent="0.3">
      <c r="A961" s="19"/>
      <c r="B961" s="19"/>
      <c r="C961" s="19"/>
      <c r="D961" s="19"/>
      <c r="E961" s="19"/>
      <c r="F961" s="19"/>
    </row>
    <row r="962" spans="1:6" ht="15.75" customHeight="1" x14ac:dyDescent="0.3">
      <c r="A962" s="19"/>
      <c r="B962" s="19"/>
      <c r="C962" s="19"/>
      <c r="D962" s="19"/>
      <c r="E962" s="19"/>
      <c r="F962" s="19"/>
    </row>
    <row r="963" spans="1:6" ht="15.75" customHeight="1" x14ac:dyDescent="0.3">
      <c r="A963" s="19"/>
      <c r="B963" s="19"/>
      <c r="C963" s="19"/>
      <c r="D963" s="19"/>
      <c r="E963" s="19"/>
      <c r="F963" s="19"/>
    </row>
    <row r="964" spans="1:6" ht="15.75" customHeight="1" x14ac:dyDescent="0.3">
      <c r="A964" s="19"/>
      <c r="B964" s="19"/>
      <c r="C964" s="19"/>
      <c r="D964" s="19"/>
      <c r="E964" s="19"/>
      <c r="F964" s="19"/>
    </row>
    <row r="965" spans="1:6" ht="15.75" customHeight="1" x14ac:dyDescent="0.3">
      <c r="A965" s="19"/>
      <c r="B965" s="19"/>
      <c r="C965" s="19"/>
      <c r="D965" s="19"/>
      <c r="E965" s="19"/>
      <c r="F965" s="19"/>
    </row>
    <row r="966" spans="1:6" ht="15.75" customHeight="1" x14ac:dyDescent="0.3">
      <c r="A966" s="19"/>
      <c r="B966" s="19"/>
      <c r="C966" s="19"/>
      <c r="D966" s="19"/>
      <c r="E966" s="19"/>
      <c r="F966" s="19"/>
    </row>
    <row r="967" spans="1:6" ht="15.75" customHeight="1" x14ac:dyDescent="0.3">
      <c r="A967" s="19"/>
      <c r="B967" s="19"/>
      <c r="C967" s="19"/>
      <c r="D967" s="19"/>
      <c r="E967" s="19"/>
      <c r="F967" s="19"/>
    </row>
    <row r="968" spans="1:6" ht="15.75" customHeight="1" x14ac:dyDescent="0.3">
      <c r="A968" s="19"/>
      <c r="B968" s="19"/>
      <c r="C968" s="19"/>
      <c r="D968" s="19"/>
      <c r="E968" s="19"/>
      <c r="F968" s="19"/>
    </row>
    <row r="969" spans="1:6" ht="15.75" customHeight="1" x14ac:dyDescent="0.3">
      <c r="A969" s="19"/>
      <c r="B969" s="19"/>
      <c r="C969" s="19"/>
      <c r="D969" s="19"/>
      <c r="E969" s="19"/>
      <c r="F969" s="19"/>
    </row>
    <row r="970" spans="1:6" ht="15.75" customHeight="1" x14ac:dyDescent="0.3">
      <c r="A970" s="19"/>
      <c r="B970" s="19"/>
      <c r="C970" s="19"/>
      <c r="D970" s="19"/>
      <c r="E970" s="19"/>
      <c r="F970" s="19"/>
    </row>
    <row r="971" spans="1:6" ht="15.75" customHeight="1" x14ac:dyDescent="0.3">
      <c r="A971" s="19"/>
      <c r="B971" s="19"/>
      <c r="C971" s="19"/>
      <c r="D971" s="19"/>
      <c r="E971" s="19"/>
      <c r="F971" s="19"/>
    </row>
    <row r="972" spans="1:6" ht="15.75" customHeight="1" x14ac:dyDescent="0.3">
      <c r="A972" s="19"/>
      <c r="B972" s="19"/>
      <c r="C972" s="19"/>
      <c r="D972" s="19"/>
      <c r="E972" s="19"/>
      <c r="F972" s="19"/>
    </row>
    <row r="973" spans="1:6" ht="15.75" customHeight="1" x14ac:dyDescent="0.3">
      <c r="A973" s="19"/>
      <c r="B973" s="19"/>
      <c r="C973" s="19"/>
      <c r="D973" s="19"/>
      <c r="E973" s="19"/>
      <c r="F973" s="19"/>
    </row>
    <row r="974" spans="1:6" ht="15.75" customHeight="1" x14ac:dyDescent="0.3">
      <c r="A974" s="19"/>
      <c r="B974" s="19"/>
      <c r="C974" s="19"/>
      <c r="D974" s="19"/>
      <c r="E974" s="19"/>
      <c r="F974" s="19"/>
    </row>
    <row r="975" spans="1:6" ht="15.75" customHeight="1" x14ac:dyDescent="0.3">
      <c r="A975" s="19"/>
      <c r="B975" s="19"/>
      <c r="C975" s="19"/>
      <c r="D975" s="19"/>
      <c r="E975" s="19"/>
      <c r="F975" s="19"/>
    </row>
    <row r="976" spans="1:6" ht="15.75" customHeight="1" x14ac:dyDescent="0.3">
      <c r="A976" s="19"/>
      <c r="B976" s="19"/>
      <c r="C976" s="19"/>
      <c r="D976" s="19"/>
      <c r="E976" s="19"/>
      <c r="F976" s="19"/>
    </row>
    <row r="977" spans="1:6" ht="15.75" customHeight="1" x14ac:dyDescent="0.3">
      <c r="A977" s="19"/>
      <c r="B977" s="19"/>
      <c r="C977" s="19"/>
      <c r="D977" s="19"/>
      <c r="E977" s="19"/>
      <c r="F977" s="19"/>
    </row>
    <row r="978" spans="1:6" ht="15.75" customHeight="1" x14ac:dyDescent="0.3">
      <c r="A978" s="19"/>
      <c r="B978" s="19"/>
      <c r="C978" s="19"/>
      <c r="D978" s="19"/>
      <c r="E978" s="19"/>
      <c r="F978" s="19"/>
    </row>
    <row r="979" spans="1:6" ht="15.75" customHeight="1" x14ac:dyDescent="0.3">
      <c r="A979" s="19"/>
      <c r="B979" s="19"/>
      <c r="C979" s="19"/>
      <c r="D979" s="19"/>
      <c r="E979" s="19"/>
      <c r="F979" s="19"/>
    </row>
    <row r="980" spans="1:6" ht="15.75" customHeight="1" x14ac:dyDescent="0.3">
      <c r="A980" s="19"/>
      <c r="B980" s="19"/>
      <c r="C980" s="19"/>
      <c r="D980" s="19"/>
      <c r="E980" s="19"/>
      <c r="F980" s="19"/>
    </row>
    <row r="981" spans="1:6" ht="15.75" customHeight="1" x14ac:dyDescent="0.3">
      <c r="A981" s="19"/>
      <c r="B981" s="19"/>
      <c r="C981" s="19"/>
      <c r="D981" s="19"/>
      <c r="E981" s="19"/>
      <c r="F981" s="19"/>
    </row>
    <row r="982" spans="1:6" ht="15.75" customHeight="1" x14ac:dyDescent="0.3">
      <c r="A982" s="19"/>
      <c r="B982" s="19"/>
      <c r="C982" s="19"/>
      <c r="D982" s="19"/>
      <c r="E982" s="19"/>
      <c r="F982" s="19"/>
    </row>
    <row r="983" spans="1:6" ht="15.75" customHeight="1" x14ac:dyDescent="0.3">
      <c r="A983" s="19"/>
      <c r="B983" s="19"/>
      <c r="C983" s="19"/>
      <c r="D983" s="19"/>
      <c r="E983" s="19"/>
      <c r="F983" s="19"/>
    </row>
    <row r="984" spans="1:6" ht="15.75" customHeight="1" x14ac:dyDescent="0.3">
      <c r="A984" s="19"/>
      <c r="B984" s="19"/>
      <c r="C984" s="19"/>
      <c r="D984" s="19"/>
      <c r="E984" s="19"/>
      <c r="F984" s="19"/>
    </row>
    <row r="985" spans="1:6" ht="15.75" customHeight="1" x14ac:dyDescent="0.3">
      <c r="A985" s="19"/>
      <c r="B985" s="19"/>
      <c r="C985" s="19"/>
      <c r="D985" s="19"/>
      <c r="E985" s="19"/>
      <c r="F985" s="19"/>
    </row>
    <row r="986" spans="1:6" ht="15.75" customHeight="1" x14ac:dyDescent="0.3">
      <c r="A986" s="19"/>
      <c r="B986" s="19"/>
      <c r="C986" s="19"/>
      <c r="D986" s="19"/>
      <c r="E986" s="19"/>
      <c r="F986" s="19"/>
    </row>
    <row r="987" spans="1:6" ht="15.75" customHeight="1" x14ac:dyDescent="0.3">
      <c r="A987" s="19"/>
      <c r="B987" s="19"/>
      <c r="C987" s="19"/>
      <c r="D987" s="19"/>
      <c r="E987" s="19"/>
      <c r="F987" s="19"/>
    </row>
    <row r="988" spans="1:6" ht="15.75" customHeight="1" x14ac:dyDescent="0.3">
      <c r="A988" s="19"/>
      <c r="B988" s="19"/>
      <c r="C988" s="19"/>
      <c r="D988" s="19"/>
      <c r="E988" s="19"/>
      <c r="F988" s="19"/>
    </row>
    <row r="989" spans="1:6" ht="15.75" customHeight="1" x14ac:dyDescent="0.3">
      <c r="A989" s="19"/>
      <c r="B989" s="19"/>
      <c r="C989" s="19"/>
      <c r="D989" s="19"/>
      <c r="E989" s="19"/>
      <c r="F989" s="19"/>
    </row>
    <row r="990" spans="1:6" ht="15.75" customHeight="1" x14ac:dyDescent="0.3">
      <c r="A990" s="19"/>
      <c r="B990" s="19"/>
      <c r="C990" s="19"/>
      <c r="D990" s="19"/>
      <c r="E990" s="19"/>
      <c r="F990" s="19"/>
    </row>
    <row r="991" spans="1:6" ht="15.75" customHeight="1" x14ac:dyDescent="0.3">
      <c r="A991" s="19"/>
      <c r="B991" s="19"/>
      <c r="C991" s="19"/>
      <c r="D991" s="19"/>
      <c r="E991" s="19"/>
      <c r="F991" s="19"/>
    </row>
    <row r="992" spans="1:6" ht="15.75" customHeight="1" x14ac:dyDescent="0.3">
      <c r="A992" s="19"/>
      <c r="B992" s="19"/>
      <c r="C992" s="19"/>
      <c r="D992" s="19"/>
      <c r="E992" s="19"/>
      <c r="F992" s="19"/>
    </row>
    <row r="993" spans="1:6" ht="15.75" customHeight="1" x14ac:dyDescent="0.3">
      <c r="A993" s="19"/>
      <c r="B993" s="19"/>
      <c r="C993" s="19"/>
      <c r="D993" s="19"/>
      <c r="E993" s="19"/>
      <c r="F993" s="19"/>
    </row>
    <row r="994" spans="1:6" ht="15.75" customHeight="1" x14ac:dyDescent="0.3">
      <c r="A994" s="19"/>
      <c r="B994" s="19"/>
      <c r="C994" s="19"/>
      <c r="D994" s="19"/>
      <c r="E994" s="19"/>
      <c r="F994" s="19"/>
    </row>
    <row r="995" spans="1:6" ht="15.75" customHeight="1" x14ac:dyDescent="0.3">
      <c r="A995" s="19"/>
      <c r="B995" s="19"/>
      <c r="C995" s="19"/>
      <c r="D995" s="19"/>
      <c r="E995" s="19"/>
      <c r="F995" s="19"/>
    </row>
    <row r="996" spans="1:6" ht="15.75" customHeight="1" x14ac:dyDescent="0.3">
      <c r="A996" s="19"/>
      <c r="B996" s="19"/>
      <c r="C996" s="19"/>
      <c r="D996" s="19"/>
      <c r="E996" s="19"/>
      <c r="F996" s="19"/>
    </row>
    <row r="997" spans="1:6" ht="15.75" customHeight="1" x14ac:dyDescent="0.3">
      <c r="A997" s="19"/>
      <c r="B997" s="19"/>
      <c r="C997" s="19"/>
      <c r="D997" s="19"/>
      <c r="E997" s="19"/>
      <c r="F997" s="19"/>
    </row>
    <row r="998" spans="1:6" ht="15.75" customHeight="1" x14ac:dyDescent="0.3">
      <c r="A998" s="19"/>
      <c r="B998" s="19"/>
      <c r="C998" s="19"/>
      <c r="D998" s="19"/>
      <c r="E998" s="19"/>
      <c r="F998" s="19"/>
    </row>
    <row r="999" spans="1:6" ht="15.75" customHeight="1" x14ac:dyDescent="0.3">
      <c r="A999" s="19"/>
      <c r="B999" s="19"/>
      <c r="C999" s="19"/>
      <c r="D999" s="19"/>
      <c r="E999" s="19"/>
      <c r="F999" s="19"/>
    </row>
    <row r="1000" spans="1:6" ht="15.75" customHeight="1" x14ac:dyDescent="0.3">
      <c r="A1000" s="19"/>
      <c r="B1000" s="19"/>
      <c r="C1000" s="19"/>
      <c r="D1000" s="19"/>
      <c r="E1000" s="19"/>
      <c r="F1000" s="19"/>
    </row>
  </sheetData>
  <mergeCells count="2">
    <mergeCell ref="A1:D1"/>
    <mergeCell ref="A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pane ySplit="4" topLeftCell="A56" activePane="bottomLeft" state="frozen"/>
      <selection pane="bottomLeft" activeCell="F37" sqref="F37:F38"/>
    </sheetView>
  </sheetViews>
  <sheetFormatPr defaultColWidth="14.44140625" defaultRowHeight="14.4" x14ac:dyDescent="0.3"/>
  <cols>
    <col min="1" max="1" width="11" customWidth="1"/>
    <col min="2" max="2" width="22" customWidth="1"/>
    <col min="3" max="3" width="55" customWidth="1"/>
    <col min="4" max="4" width="10" customWidth="1"/>
    <col min="5" max="5" width="12" customWidth="1"/>
    <col min="6" max="6" width="10" customWidth="1"/>
    <col min="7" max="7" width="14" customWidth="1"/>
    <col min="8" max="8" width="22" customWidth="1"/>
  </cols>
  <sheetData>
    <row r="1" spans="1:26" ht="17.25" customHeight="1" x14ac:dyDescent="0.3">
      <c r="A1" s="14" t="s">
        <v>20</v>
      </c>
      <c r="B1" s="14"/>
      <c r="C1" s="14"/>
      <c r="D1" s="14"/>
      <c r="E1" s="14"/>
      <c r="F1" s="14"/>
      <c r="G1" s="14"/>
      <c r="H1" s="14"/>
      <c r="I1" s="15"/>
      <c r="J1" s="15"/>
      <c r="K1" s="15"/>
      <c r="L1" s="15"/>
      <c r="M1" s="15"/>
      <c r="N1" s="15"/>
      <c r="O1" s="15"/>
      <c r="P1" s="15"/>
      <c r="Q1" s="15"/>
      <c r="R1" s="15"/>
      <c r="S1" s="15"/>
      <c r="T1" s="15"/>
      <c r="U1" s="15"/>
      <c r="V1" s="15"/>
      <c r="W1" s="15"/>
      <c r="X1" s="15"/>
      <c r="Y1" s="15"/>
      <c r="Z1" s="15"/>
    </row>
    <row r="2" spans="1:26" ht="15" customHeight="1" x14ac:dyDescent="0.3">
      <c r="A2" s="12" t="s">
        <v>21</v>
      </c>
      <c r="B2" s="12"/>
      <c r="C2" s="12"/>
      <c r="D2" s="12"/>
      <c r="E2" s="12"/>
      <c r="F2" s="12"/>
      <c r="G2" s="12"/>
      <c r="H2" s="12"/>
      <c r="I2" s="15"/>
      <c r="J2" s="15"/>
      <c r="K2" s="15"/>
      <c r="L2" s="15"/>
      <c r="M2" s="15"/>
      <c r="N2" s="15"/>
      <c r="O2" s="15"/>
      <c r="P2" s="15"/>
      <c r="Q2" s="15"/>
      <c r="R2" s="15"/>
      <c r="S2" s="15"/>
      <c r="T2" s="15"/>
      <c r="U2" s="15"/>
      <c r="V2" s="15"/>
      <c r="W2" s="15"/>
      <c r="X2" s="15"/>
      <c r="Y2" s="15"/>
      <c r="Z2" s="15"/>
    </row>
    <row r="3" spans="1:26" x14ac:dyDescent="0.3">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ht="23.25" customHeight="1" x14ac:dyDescent="0.3">
      <c r="A4" s="16" t="s">
        <v>22</v>
      </c>
      <c r="B4" s="16" t="s">
        <v>23</v>
      </c>
      <c r="C4" s="16" t="s">
        <v>24</v>
      </c>
      <c r="D4" s="16" t="s">
        <v>25</v>
      </c>
      <c r="E4" s="16" t="s">
        <v>26</v>
      </c>
      <c r="F4" s="16" t="s">
        <v>27</v>
      </c>
      <c r="G4" s="16" t="s">
        <v>28</v>
      </c>
      <c r="H4" s="16" t="s">
        <v>29</v>
      </c>
      <c r="I4" s="15"/>
      <c r="J4" s="15"/>
      <c r="K4" s="15"/>
      <c r="L4" s="15"/>
      <c r="M4" s="15"/>
      <c r="N4" s="15"/>
      <c r="O4" s="15"/>
      <c r="P4" s="15"/>
      <c r="Q4" s="15"/>
      <c r="R4" s="15"/>
      <c r="S4" s="15"/>
      <c r="T4" s="15"/>
      <c r="U4" s="15"/>
      <c r="V4" s="15"/>
      <c r="W4" s="15"/>
      <c r="X4" s="15"/>
      <c r="Y4" s="15"/>
      <c r="Z4" s="15"/>
    </row>
    <row r="5" spans="1:26" ht="42" customHeight="1" x14ac:dyDescent="0.3">
      <c r="A5" s="18" t="s">
        <v>30</v>
      </c>
      <c r="B5" s="18" t="s">
        <v>31</v>
      </c>
      <c r="C5" s="18" t="s">
        <v>32</v>
      </c>
      <c r="D5" s="18" t="s">
        <v>33</v>
      </c>
      <c r="E5" s="18">
        <v>5</v>
      </c>
      <c r="F5" s="20" t="s">
        <v>34</v>
      </c>
      <c r="G5" s="18" t="s">
        <v>35</v>
      </c>
      <c r="H5" s="18" t="s">
        <v>6</v>
      </c>
      <c r="I5" s="15"/>
      <c r="J5" s="15"/>
      <c r="K5" s="15"/>
      <c r="L5" s="15"/>
      <c r="M5" s="15"/>
      <c r="N5" s="15"/>
      <c r="O5" s="15"/>
      <c r="P5" s="15"/>
      <c r="Q5" s="15"/>
      <c r="R5" s="15"/>
      <c r="S5" s="15"/>
      <c r="T5" s="15"/>
      <c r="U5" s="15"/>
      <c r="V5" s="15"/>
      <c r="W5" s="15"/>
      <c r="X5" s="15"/>
      <c r="Y5" s="15"/>
      <c r="Z5" s="15"/>
    </row>
    <row r="6" spans="1:26" ht="42" customHeight="1" x14ac:dyDescent="0.3">
      <c r="A6" s="17" t="s">
        <v>36</v>
      </c>
      <c r="B6" s="17" t="s">
        <v>31</v>
      </c>
      <c r="C6" s="17" t="s">
        <v>37</v>
      </c>
      <c r="D6" s="17" t="s">
        <v>33</v>
      </c>
      <c r="E6" s="17">
        <v>3</v>
      </c>
      <c r="F6" s="21" t="s">
        <v>34</v>
      </c>
      <c r="G6" s="17" t="s">
        <v>35</v>
      </c>
      <c r="H6" s="17" t="s">
        <v>6</v>
      </c>
      <c r="I6" s="15"/>
      <c r="J6" s="15"/>
      <c r="K6" s="15"/>
      <c r="L6" s="15"/>
      <c r="M6" s="15"/>
      <c r="N6" s="15"/>
      <c r="O6" s="15"/>
      <c r="P6" s="15"/>
      <c r="Q6" s="15"/>
      <c r="R6" s="15"/>
      <c r="S6" s="15"/>
      <c r="T6" s="15"/>
      <c r="U6" s="15"/>
      <c r="V6" s="15"/>
      <c r="W6" s="15"/>
      <c r="X6" s="15"/>
      <c r="Y6" s="15"/>
      <c r="Z6" s="15"/>
    </row>
    <row r="7" spans="1:26" ht="42" customHeight="1" x14ac:dyDescent="0.3">
      <c r="A7" s="18" t="s">
        <v>38</v>
      </c>
      <c r="B7" s="18" t="s">
        <v>31</v>
      </c>
      <c r="C7" s="18" t="s">
        <v>39</v>
      </c>
      <c r="D7" s="18" t="s">
        <v>40</v>
      </c>
      <c r="E7" s="18">
        <v>2</v>
      </c>
      <c r="F7" s="20" t="s">
        <v>34</v>
      </c>
      <c r="G7" s="18" t="s">
        <v>35</v>
      </c>
      <c r="H7" s="18" t="s">
        <v>6</v>
      </c>
      <c r="I7" s="15"/>
      <c r="J7" s="15"/>
      <c r="K7" s="15"/>
      <c r="L7" s="15"/>
      <c r="M7" s="15"/>
      <c r="N7" s="15"/>
      <c r="O7" s="15"/>
      <c r="P7" s="15"/>
      <c r="Q7" s="15"/>
      <c r="R7" s="15"/>
      <c r="S7" s="15"/>
      <c r="T7" s="15"/>
      <c r="U7" s="15"/>
      <c r="V7" s="15"/>
      <c r="W7" s="15"/>
      <c r="X7" s="15"/>
      <c r="Y7" s="15"/>
      <c r="Z7" s="15"/>
    </row>
    <row r="8" spans="1:26" ht="42" customHeight="1" x14ac:dyDescent="0.3">
      <c r="A8" s="17" t="s">
        <v>41</v>
      </c>
      <c r="B8" s="17" t="s">
        <v>42</v>
      </c>
      <c r="C8" s="17" t="s">
        <v>43</v>
      </c>
      <c r="D8" s="17" t="s">
        <v>33</v>
      </c>
      <c r="E8" s="17">
        <v>3</v>
      </c>
      <c r="F8" s="21" t="s">
        <v>34</v>
      </c>
      <c r="G8" s="17" t="s">
        <v>35</v>
      </c>
      <c r="H8" s="17" t="s">
        <v>6</v>
      </c>
      <c r="I8" s="15"/>
      <c r="J8" s="15"/>
      <c r="K8" s="15"/>
      <c r="L8" s="15"/>
      <c r="M8" s="15"/>
      <c r="N8" s="15"/>
      <c r="O8" s="15"/>
      <c r="P8" s="15"/>
      <c r="Q8" s="15"/>
      <c r="R8" s="15"/>
      <c r="S8" s="15"/>
      <c r="T8" s="15"/>
      <c r="U8" s="15"/>
      <c r="V8" s="15"/>
      <c r="W8" s="15"/>
      <c r="X8" s="15"/>
      <c r="Y8" s="15"/>
      <c r="Z8" s="15"/>
    </row>
    <row r="9" spans="1:26" ht="42" customHeight="1" x14ac:dyDescent="0.3">
      <c r="A9" s="18" t="s">
        <v>44</v>
      </c>
      <c r="B9" s="18" t="s">
        <v>42</v>
      </c>
      <c r="C9" s="18" t="s">
        <v>45</v>
      </c>
      <c r="D9" s="18" t="s">
        <v>33</v>
      </c>
      <c r="E9" s="18">
        <v>3</v>
      </c>
      <c r="F9" s="20" t="s">
        <v>34</v>
      </c>
      <c r="G9" s="18" t="s">
        <v>35</v>
      </c>
      <c r="H9" s="18" t="s">
        <v>6</v>
      </c>
      <c r="I9" s="15"/>
      <c r="J9" s="15"/>
      <c r="K9" s="15"/>
      <c r="L9" s="15"/>
      <c r="M9" s="15"/>
      <c r="N9" s="15"/>
      <c r="O9" s="15"/>
      <c r="P9" s="15"/>
      <c r="Q9" s="15"/>
      <c r="R9" s="15"/>
      <c r="S9" s="15"/>
      <c r="T9" s="15"/>
      <c r="U9" s="15"/>
      <c r="V9" s="15"/>
      <c r="W9" s="15"/>
      <c r="X9" s="15"/>
      <c r="Y9" s="15"/>
      <c r="Z9" s="15"/>
    </row>
    <row r="10" spans="1:26" ht="42" customHeight="1" x14ac:dyDescent="0.3">
      <c r="A10" s="17" t="s">
        <v>46</v>
      </c>
      <c r="B10" s="17" t="s">
        <v>42</v>
      </c>
      <c r="C10" s="17" t="s">
        <v>47</v>
      </c>
      <c r="D10" s="17" t="s">
        <v>33</v>
      </c>
      <c r="E10" s="17">
        <v>5</v>
      </c>
      <c r="F10" s="21" t="s">
        <v>34</v>
      </c>
      <c r="G10" s="17" t="s">
        <v>35</v>
      </c>
      <c r="H10" s="17" t="s">
        <v>6</v>
      </c>
      <c r="I10" s="15"/>
      <c r="J10" s="15"/>
      <c r="K10" s="15"/>
      <c r="L10" s="15"/>
      <c r="M10" s="15"/>
      <c r="N10" s="15"/>
      <c r="O10" s="15"/>
      <c r="P10" s="15"/>
      <c r="Q10" s="15"/>
      <c r="R10" s="15"/>
      <c r="S10" s="15"/>
      <c r="T10" s="15"/>
      <c r="U10" s="15"/>
      <c r="V10" s="15"/>
      <c r="W10" s="15"/>
      <c r="X10" s="15"/>
      <c r="Y10" s="15"/>
      <c r="Z10" s="15"/>
    </row>
    <row r="11" spans="1:26" ht="42" customHeight="1" x14ac:dyDescent="0.3">
      <c r="A11" s="18" t="s">
        <v>48</v>
      </c>
      <c r="B11" s="18" t="s">
        <v>42</v>
      </c>
      <c r="C11" s="18" t="s">
        <v>49</v>
      </c>
      <c r="D11" s="18" t="s">
        <v>40</v>
      </c>
      <c r="E11" s="18">
        <v>5</v>
      </c>
      <c r="F11" s="20" t="s">
        <v>34</v>
      </c>
      <c r="G11" s="18" t="s">
        <v>50</v>
      </c>
      <c r="H11" s="18" t="s">
        <v>6</v>
      </c>
      <c r="I11" s="15"/>
      <c r="J11" s="15"/>
      <c r="K11" s="15"/>
      <c r="L11" s="15"/>
      <c r="M11" s="15"/>
      <c r="N11" s="15"/>
      <c r="O11" s="15"/>
      <c r="P11" s="15"/>
      <c r="Q11" s="15"/>
      <c r="R11" s="15"/>
      <c r="S11" s="15"/>
      <c r="T11" s="15"/>
      <c r="U11" s="15"/>
      <c r="V11" s="15"/>
      <c r="W11" s="15"/>
      <c r="X11" s="15"/>
      <c r="Y11" s="15"/>
      <c r="Z11" s="15"/>
    </row>
    <row r="12" spans="1:26" ht="42" customHeight="1" x14ac:dyDescent="0.3">
      <c r="A12" s="17" t="s">
        <v>51</v>
      </c>
      <c r="B12" s="17" t="s">
        <v>52</v>
      </c>
      <c r="C12" s="17" t="s">
        <v>53</v>
      </c>
      <c r="D12" s="17" t="s">
        <v>33</v>
      </c>
      <c r="E12" s="17">
        <v>5</v>
      </c>
      <c r="F12" s="21" t="s">
        <v>34</v>
      </c>
      <c r="G12" s="17" t="s">
        <v>50</v>
      </c>
      <c r="H12" s="17" t="s">
        <v>12</v>
      </c>
      <c r="I12" s="15"/>
      <c r="J12" s="15"/>
      <c r="K12" s="15"/>
      <c r="L12" s="15"/>
      <c r="M12" s="15"/>
      <c r="N12" s="15"/>
      <c r="O12" s="15"/>
      <c r="P12" s="15"/>
      <c r="Q12" s="15"/>
      <c r="R12" s="15"/>
      <c r="S12" s="15"/>
      <c r="T12" s="15"/>
      <c r="U12" s="15"/>
      <c r="V12" s="15"/>
      <c r="W12" s="15"/>
      <c r="X12" s="15"/>
      <c r="Y12" s="15"/>
      <c r="Z12" s="15"/>
    </row>
    <row r="13" spans="1:26" ht="42" customHeight="1" x14ac:dyDescent="0.3">
      <c r="A13" s="18" t="s">
        <v>54</v>
      </c>
      <c r="B13" s="18" t="s">
        <v>52</v>
      </c>
      <c r="C13" s="18" t="s">
        <v>55</v>
      </c>
      <c r="D13" s="18" t="s">
        <v>33</v>
      </c>
      <c r="E13" s="18">
        <v>3</v>
      </c>
      <c r="F13" s="20" t="s">
        <v>34</v>
      </c>
      <c r="G13" s="18" t="s">
        <v>50</v>
      </c>
      <c r="H13" s="18" t="s">
        <v>15</v>
      </c>
      <c r="I13" s="15"/>
      <c r="J13" s="15"/>
      <c r="K13" s="15"/>
      <c r="L13" s="15"/>
      <c r="M13" s="15"/>
      <c r="N13" s="15"/>
      <c r="O13" s="15"/>
      <c r="P13" s="15"/>
      <c r="Q13" s="15"/>
      <c r="R13" s="15"/>
      <c r="S13" s="15"/>
      <c r="T13" s="15"/>
      <c r="U13" s="15"/>
      <c r="V13" s="15"/>
      <c r="W13" s="15"/>
      <c r="X13" s="15"/>
      <c r="Y13" s="15"/>
      <c r="Z13" s="15"/>
    </row>
    <row r="14" spans="1:26" ht="42" customHeight="1" x14ac:dyDescent="0.3">
      <c r="A14" s="17" t="s">
        <v>56</v>
      </c>
      <c r="B14" s="17" t="s">
        <v>52</v>
      </c>
      <c r="C14" s="17" t="s">
        <v>57</v>
      </c>
      <c r="D14" s="17" t="s">
        <v>33</v>
      </c>
      <c r="E14" s="17">
        <v>5</v>
      </c>
      <c r="F14" s="21" t="s">
        <v>34</v>
      </c>
      <c r="G14" s="17" t="s">
        <v>50</v>
      </c>
      <c r="H14" s="17" t="s">
        <v>9</v>
      </c>
      <c r="I14" s="15"/>
      <c r="J14" s="15"/>
      <c r="K14" s="15"/>
      <c r="L14" s="15"/>
      <c r="M14" s="15"/>
      <c r="N14" s="15"/>
      <c r="O14" s="15"/>
      <c r="P14" s="15"/>
      <c r="Q14" s="15"/>
      <c r="R14" s="15"/>
      <c r="S14" s="15"/>
      <c r="T14" s="15"/>
      <c r="U14" s="15"/>
      <c r="V14" s="15"/>
      <c r="W14" s="15"/>
      <c r="X14" s="15"/>
      <c r="Y14" s="15"/>
      <c r="Z14" s="15"/>
    </row>
    <row r="15" spans="1:26" ht="42" customHeight="1" x14ac:dyDescent="0.3">
      <c r="A15" s="18" t="s">
        <v>58</v>
      </c>
      <c r="B15" s="18" t="s">
        <v>52</v>
      </c>
      <c r="C15" s="18" t="s">
        <v>59</v>
      </c>
      <c r="D15" s="18" t="s">
        <v>33</v>
      </c>
      <c r="E15" s="18">
        <v>8</v>
      </c>
      <c r="F15" s="20" t="s">
        <v>34</v>
      </c>
      <c r="G15" s="18" t="s">
        <v>60</v>
      </c>
      <c r="H15" s="18" t="s">
        <v>6</v>
      </c>
      <c r="I15" s="15"/>
      <c r="J15" s="15"/>
      <c r="K15" s="15"/>
      <c r="L15" s="15"/>
      <c r="M15" s="15"/>
      <c r="N15" s="15"/>
      <c r="O15" s="15"/>
      <c r="P15" s="15"/>
      <c r="Q15" s="15"/>
      <c r="R15" s="15"/>
      <c r="S15" s="15"/>
      <c r="T15" s="15"/>
      <c r="U15" s="15"/>
      <c r="V15" s="15"/>
      <c r="W15" s="15"/>
      <c r="X15" s="15"/>
      <c r="Y15" s="15"/>
      <c r="Z15" s="15"/>
    </row>
    <row r="16" spans="1:26" ht="42" customHeight="1" x14ac:dyDescent="0.3">
      <c r="A16" s="18" t="s">
        <v>61</v>
      </c>
      <c r="B16" s="18" t="s">
        <v>62</v>
      </c>
      <c r="C16" s="18" t="s">
        <v>63</v>
      </c>
      <c r="D16" s="18" t="s">
        <v>40</v>
      </c>
      <c r="E16" s="18">
        <v>5</v>
      </c>
      <c r="F16" s="20" t="s">
        <v>34</v>
      </c>
      <c r="G16" s="18" t="s">
        <v>60</v>
      </c>
      <c r="H16" s="18" t="s">
        <v>6</v>
      </c>
      <c r="I16" s="15"/>
      <c r="J16" s="15"/>
      <c r="K16" s="15"/>
      <c r="L16" s="15"/>
      <c r="M16" s="15"/>
      <c r="N16" s="15"/>
      <c r="O16" s="15"/>
      <c r="P16" s="15"/>
      <c r="Q16" s="15"/>
      <c r="R16" s="15"/>
      <c r="S16" s="15"/>
      <c r="T16" s="15"/>
      <c r="U16" s="15"/>
      <c r="V16" s="15"/>
      <c r="W16" s="15"/>
      <c r="X16" s="15"/>
      <c r="Y16" s="15"/>
      <c r="Z16" s="15"/>
    </row>
    <row r="17" spans="1:26" ht="42" customHeight="1" x14ac:dyDescent="0.3">
      <c r="A17" s="17" t="s">
        <v>64</v>
      </c>
      <c r="B17" s="17" t="s">
        <v>62</v>
      </c>
      <c r="C17" s="17" t="s">
        <v>65</v>
      </c>
      <c r="D17" s="17" t="s">
        <v>40</v>
      </c>
      <c r="E17" s="17">
        <v>3</v>
      </c>
      <c r="F17" s="20" t="s">
        <v>34</v>
      </c>
      <c r="G17" s="17" t="s">
        <v>60</v>
      </c>
      <c r="H17" s="17" t="s">
        <v>6</v>
      </c>
      <c r="I17" s="15"/>
      <c r="J17" s="15"/>
      <c r="K17" s="15"/>
      <c r="L17" s="15"/>
      <c r="M17" s="15"/>
      <c r="N17" s="15"/>
      <c r="O17" s="15"/>
      <c r="P17" s="15"/>
      <c r="Q17" s="15"/>
      <c r="R17" s="15"/>
      <c r="S17" s="15"/>
      <c r="T17" s="15"/>
      <c r="U17" s="15"/>
      <c r="V17" s="15"/>
      <c r="W17" s="15"/>
      <c r="X17" s="15"/>
      <c r="Y17" s="15"/>
      <c r="Z17" s="15"/>
    </row>
    <row r="18" spans="1:26" ht="42" customHeight="1" x14ac:dyDescent="0.3">
      <c r="A18" s="18" t="s">
        <v>66</v>
      </c>
      <c r="B18" s="18" t="s">
        <v>67</v>
      </c>
      <c r="C18" s="18" t="s">
        <v>68</v>
      </c>
      <c r="D18" s="18" t="s">
        <v>33</v>
      </c>
      <c r="E18" s="18">
        <v>5</v>
      </c>
      <c r="F18" s="20" t="s">
        <v>34</v>
      </c>
      <c r="G18" s="18" t="s">
        <v>60</v>
      </c>
      <c r="H18" s="18" t="s">
        <v>12</v>
      </c>
      <c r="I18" s="15"/>
      <c r="J18" s="15"/>
      <c r="K18" s="15"/>
      <c r="L18" s="15"/>
      <c r="M18" s="15"/>
      <c r="N18" s="15"/>
      <c r="O18" s="15"/>
      <c r="P18" s="15"/>
      <c r="Q18" s="15"/>
      <c r="R18" s="15"/>
      <c r="S18" s="15"/>
      <c r="T18" s="15"/>
      <c r="U18" s="15"/>
      <c r="V18" s="15"/>
      <c r="W18" s="15"/>
      <c r="X18" s="15"/>
      <c r="Y18" s="15"/>
      <c r="Z18" s="15"/>
    </row>
    <row r="19" spans="1:26" ht="42" customHeight="1" x14ac:dyDescent="0.3">
      <c r="A19" s="17" t="s">
        <v>69</v>
      </c>
      <c r="B19" s="17" t="s">
        <v>67</v>
      </c>
      <c r="C19" s="17" t="s">
        <v>70</v>
      </c>
      <c r="D19" s="17" t="s">
        <v>33</v>
      </c>
      <c r="E19" s="17">
        <v>3</v>
      </c>
      <c r="F19" s="20" t="s">
        <v>34</v>
      </c>
      <c r="G19" s="17" t="s">
        <v>60</v>
      </c>
      <c r="H19" s="17" t="s">
        <v>12</v>
      </c>
      <c r="I19" s="15"/>
      <c r="J19" s="15"/>
      <c r="K19" s="15"/>
      <c r="L19" s="15"/>
      <c r="M19" s="15"/>
      <c r="N19" s="15"/>
      <c r="O19" s="15"/>
      <c r="P19" s="15"/>
      <c r="Q19" s="15"/>
      <c r="R19" s="15"/>
      <c r="S19" s="15"/>
      <c r="T19" s="15"/>
      <c r="U19" s="15"/>
      <c r="V19" s="15"/>
      <c r="W19" s="15"/>
      <c r="X19" s="15"/>
      <c r="Y19" s="15"/>
      <c r="Z19" s="15"/>
    </row>
    <row r="20" spans="1:26" ht="42" customHeight="1" x14ac:dyDescent="0.3">
      <c r="A20" s="18" t="s">
        <v>71</v>
      </c>
      <c r="B20" s="18" t="s">
        <v>72</v>
      </c>
      <c r="C20" s="18" t="s">
        <v>73</v>
      </c>
      <c r="D20" s="18" t="s">
        <v>33</v>
      </c>
      <c r="E20" s="18">
        <v>3</v>
      </c>
      <c r="F20" s="20" t="s">
        <v>34</v>
      </c>
      <c r="G20" s="18" t="s">
        <v>60</v>
      </c>
      <c r="H20" s="18" t="s">
        <v>6</v>
      </c>
      <c r="I20" s="15"/>
      <c r="J20" s="15"/>
      <c r="K20" s="15"/>
      <c r="L20" s="15"/>
      <c r="M20" s="15"/>
      <c r="N20" s="15"/>
      <c r="O20" s="15"/>
      <c r="P20" s="15"/>
      <c r="Q20" s="15"/>
      <c r="R20" s="15"/>
      <c r="S20" s="15"/>
      <c r="T20" s="15"/>
      <c r="U20" s="15"/>
      <c r="V20" s="15"/>
      <c r="W20" s="15"/>
      <c r="X20" s="15"/>
      <c r="Y20" s="15"/>
      <c r="Z20" s="15"/>
    </row>
    <row r="21" spans="1:26" ht="42" customHeight="1" x14ac:dyDescent="0.3">
      <c r="A21" s="17" t="s">
        <v>74</v>
      </c>
      <c r="B21" s="17" t="s">
        <v>62</v>
      </c>
      <c r="C21" s="17" t="s">
        <v>75</v>
      </c>
      <c r="D21" s="17" t="s">
        <v>40</v>
      </c>
      <c r="E21" s="17">
        <v>3</v>
      </c>
      <c r="F21" s="20" t="s">
        <v>34</v>
      </c>
      <c r="G21" s="17" t="s">
        <v>60</v>
      </c>
      <c r="H21" s="17" t="s">
        <v>18</v>
      </c>
      <c r="I21" s="15"/>
      <c r="J21" s="15"/>
      <c r="K21" s="15"/>
      <c r="L21" s="15"/>
      <c r="M21" s="15"/>
      <c r="N21" s="15"/>
      <c r="O21" s="15"/>
      <c r="P21" s="15"/>
      <c r="Q21" s="15"/>
      <c r="R21" s="15"/>
      <c r="S21" s="15"/>
      <c r="T21" s="15"/>
      <c r="U21" s="15"/>
      <c r="V21" s="15"/>
      <c r="W21" s="15"/>
      <c r="X21" s="15"/>
      <c r="Y21" s="15"/>
      <c r="Z21" s="15"/>
    </row>
    <row r="22" spans="1:26" ht="42" customHeight="1" x14ac:dyDescent="0.3">
      <c r="A22" s="18" t="s">
        <v>76</v>
      </c>
      <c r="B22" s="18" t="s">
        <v>52</v>
      </c>
      <c r="C22" s="18" t="s">
        <v>77</v>
      </c>
      <c r="D22" s="18" t="s">
        <v>33</v>
      </c>
      <c r="E22" s="18">
        <v>3</v>
      </c>
      <c r="F22" s="22" t="s">
        <v>78</v>
      </c>
      <c r="G22" s="18" t="s">
        <v>60</v>
      </c>
      <c r="H22" s="18" t="s">
        <v>9</v>
      </c>
      <c r="I22" s="15"/>
      <c r="J22" s="15"/>
      <c r="K22" s="15"/>
      <c r="L22" s="15"/>
      <c r="M22" s="15"/>
      <c r="N22" s="15"/>
      <c r="O22" s="15"/>
      <c r="P22" s="15"/>
      <c r="Q22" s="15"/>
      <c r="R22" s="15"/>
      <c r="S22" s="15"/>
      <c r="T22" s="15"/>
      <c r="U22" s="15"/>
      <c r="V22" s="15"/>
      <c r="W22" s="15"/>
      <c r="X22" s="15"/>
      <c r="Y22" s="15"/>
      <c r="Z22" s="15"/>
    </row>
    <row r="23" spans="1:26" ht="42" customHeight="1" x14ac:dyDescent="0.3">
      <c r="A23" s="17" t="s">
        <v>79</v>
      </c>
      <c r="B23" s="17" t="s">
        <v>80</v>
      </c>
      <c r="C23" s="17" t="s">
        <v>81</v>
      </c>
      <c r="D23" s="17" t="s">
        <v>33</v>
      </c>
      <c r="E23" s="17">
        <v>3</v>
      </c>
      <c r="F23" s="20" t="s">
        <v>34</v>
      </c>
      <c r="G23" s="17" t="s">
        <v>60</v>
      </c>
      <c r="H23" s="17" t="s">
        <v>15</v>
      </c>
      <c r="I23" s="15"/>
      <c r="J23" s="15"/>
      <c r="K23" s="15"/>
      <c r="L23" s="15"/>
      <c r="M23" s="15"/>
      <c r="N23" s="15"/>
      <c r="O23" s="15"/>
      <c r="P23" s="15"/>
      <c r="Q23" s="15"/>
      <c r="R23" s="15"/>
      <c r="S23" s="15"/>
      <c r="T23" s="15"/>
      <c r="U23" s="15"/>
      <c r="V23" s="15"/>
      <c r="W23" s="15"/>
      <c r="X23" s="15"/>
      <c r="Y23" s="15"/>
      <c r="Z23" s="15"/>
    </row>
    <row r="24" spans="1:26" ht="42" customHeight="1" x14ac:dyDescent="0.3">
      <c r="A24" s="18" t="s">
        <v>82</v>
      </c>
      <c r="B24" s="18" t="s">
        <v>72</v>
      </c>
      <c r="C24" s="18" t="s">
        <v>83</v>
      </c>
      <c r="D24" s="18" t="s">
        <v>33</v>
      </c>
      <c r="E24" s="18">
        <v>5</v>
      </c>
      <c r="F24" s="20" t="s">
        <v>34</v>
      </c>
      <c r="G24" s="18" t="s">
        <v>60</v>
      </c>
      <c r="H24" s="18" t="s">
        <v>6</v>
      </c>
      <c r="I24" s="15"/>
      <c r="J24" s="15"/>
      <c r="K24" s="15"/>
      <c r="L24" s="15"/>
      <c r="M24" s="15"/>
      <c r="N24" s="15"/>
      <c r="O24" s="15"/>
      <c r="P24" s="15"/>
      <c r="Q24" s="15"/>
      <c r="R24" s="15"/>
      <c r="S24" s="15"/>
      <c r="T24" s="15"/>
      <c r="U24" s="15"/>
      <c r="V24" s="15"/>
      <c r="W24" s="15"/>
      <c r="X24" s="15"/>
      <c r="Y24" s="15"/>
      <c r="Z24" s="15"/>
    </row>
    <row r="25" spans="1:26" ht="49.5" customHeight="1" x14ac:dyDescent="0.3">
      <c r="A25" s="17" t="s">
        <v>84</v>
      </c>
      <c r="B25" s="17" t="s">
        <v>85</v>
      </c>
      <c r="C25" s="17" t="s">
        <v>86</v>
      </c>
      <c r="D25" s="17" t="s">
        <v>40</v>
      </c>
      <c r="E25" s="17">
        <v>3</v>
      </c>
      <c r="F25" s="20" t="s">
        <v>34</v>
      </c>
      <c r="G25" s="17" t="s">
        <v>87</v>
      </c>
      <c r="H25" s="17" t="s">
        <v>6</v>
      </c>
      <c r="I25" s="15"/>
      <c r="J25" s="15"/>
      <c r="K25" s="15"/>
      <c r="L25" s="15"/>
      <c r="M25" s="15"/>
      <c r="N25" s="15"/>
      <c r="O25" s="15"/>
      <c r="P25" s="15"/>
      <c r="Q25" s="15"/>
      <c r="R25" s="15"/>
      <c r="S25" s="15"/>
      <c r="T25" s="15"/>
      <c r="U25" s="15"/>
      <c r="V25" s="15"/>
      <c r="W25" s="15"/>
      <c r="X25" s="15"/>
      <c r="Y25" s="15"/>
      <c r="Z25" s="15"/>
    </row>
    <row r="26" spans="1:26" ht="42" customHeight="1" x14ac:dyDescent="0.3">
      <c r="A26" s="18" t="s">
        <v>88</v>
      </c>
      <c r="B26" s="18" t="s">
        <v>72</v>
      </c>
      <c r="C26" s="18" t="s">
        <v>89</v>
      </c>
      <c r="D26" s="18" t="s">
        <v>33</v>
      </c>
      <c r="E26" s="18">
        <v>8</v>
      </c>
      <c r="F26" s="20" t="s">
        <v>34</v>
      </c>
      <c r="G26" s="18" t="s">
        <v>87</v>
      </c>
      <c r="H26" s="18" t="s">
        <v>6</v>
      </c>
      <c r="I26" s="15"/>
      <c r="J26" s="15"/>
      <c r="K26" s="15"/>
      <c r="L26" s="15"/>
      <c r="M26" s="15"/>
      <c r="N26" s="15"/>
      <c r="O26" s="15"/>
      <c r="P26" s="15"/>
      <c r="Q26" s="15"/>
      <c r="R26" s="15"/>
      <c r="S26" s="15"/>
      <c r="T26" s="15"/>
      <c r="U26" s="15"/>
      <c r="V26" s="15"/>
      <c r="W26" s="15"/>
      <c r="X26" s="15"/>
      <c r="Y26" s="15"/>
      <c r="Z26" s="15"/>
    </row>
    <row r="27" spans="1:26" ht="42" customHeight="1" x14ac:dyDescent="0.3">
      <c r="A27" s="17" t="s">
        <v>90</v>
      </c>
      <c r="B27" s="17" t="s">
        <v>91</v>
      </c>
      <c r="C27" s="17" t="s">
        <v>92</v>
      </c>
      <c r="D27" s="17" t="s">
        <v>40</v>
      </c>
      <c r="E27" s="17">
        <v>5</v>
      </c>
      <c r="F27" s="20" t="s">
        <v>34</v>
      </c>
      <c r="G27" s="17" t="s">
        <v>87</v>
      </c>
      <c r="H27" s="17" t="s">
        <v>6</v>
      </c>
      <c r="I27" s="15"/>
      <c r="J27" s="15"/>
      <c r="K27" s="15"/>
      <c r="L27" s="15"/>
      <c r="M27" s="15"/>
      <c r="N27" s="15"/>
      <c r="O27" s="15"/>
      <c r="P27" s="15"/>
      <c r="Q27" s="15"/>
      <c r="R27" s="15"/>
      <c r="S27" s="15"/>
      <c r="T27" s="15"/>
      <c r="U27" s="15"/>
      <c r="V27" s="15"/>
      <c r="W27" s="15"/>
      <c r="X27" s="15"/>
      <c r="Y27" s="15"/>
      <c r="Z27" s="15"/>
    </row>
    <row r="28" spans="1:26" ht="42" customHeight="1" x14ac:dyDescent="0.3">
      <c r="A28" s="18" t="s">
        <v>93</v>
      </c>
      <c r="B28" s="18" t="s">
        <v>91</v>
      </c>
      <c r="C28" s="18" t="s">
        <v>94</v>
      </c>
      <c r="D28" s="18" t="s">
        <v>40</v>
      </c>
      <c r="E28" s="18">
        <v>5</v>
      </c>
      <c r="F28" s="20" t="s">
        <v>34</v>
      </c>
      <c r="G28" s="18" t="s">
        <v>87</v>
      </c>
      <c r="H28" s="18" t="s">
        <v>6</v>
      </c>
      <c r="I28" s="15"/>
      <c r="J28" s="15"/>
      <c r="K28" s="15"/>
      <c r="L28" s="15"/>
      <c r="M28" s="15"/>
      <c r="N28" s="15"/>
      <c r="O28" s="15"/>
      <c r="P28" s="15"/>
      <c r="Q28" s="15"/>
      <c r="R28" s="15"/>
      <c r="S28" s="15"/>
      <c r="T28" s="15"/>
      <c r="U28" s="15"/>
      <c r="V28" s="15"/>
      <c r="W28" s="15"/>
      <c r="X28" s="15"/>
      <c r="Y28" s="15"/>
      <c r="Z28" s="15"/>
    </row>
    <row r="29" spans="1:26" ht="42" customHeight="1" x14ac:dyDescent="0.3">
      <c r="A29" s="17" t="s">
        <v>95</v>
      </c>
      <c r="B29" s="17" t="s">
        <v>67</v>
      </c>
      <c r="C29" s="17" t="s">
        <v>96</v>
      </c>
      <c r="D29" s="17" t="s">
        <v>33</v>
      </c>
      <c r="E29" s="17">
        <v>5</v>
      </c>
      <c r="F29" s="20" t="s">
        <v>34</v>
      </c>
      <c r="G29" s="17" t="s">
        <v>87</v>
      </c>
      <c r="H29" s="17" t="s">
        <v>12</v>
      </c>
      <c r="I29" s="15"/>
      <c r="J29" s="15"/>
      <c r="K29" s="15"/>
      <c r="L29" s="15"/>
      <c r="M29" s="15"/>
      <c r="N29" s="15"/>
      <c r="O29" s="15"/>
      <c r="P29" s="15"/>
      <c r="Q29" s="15"/>
      <c r="R29" s="15"/>
      <c r="S29" s="15"/>
      <c r="T29" s="15"/>
      <c r="U29" s="15"/>
      <c r="V29" s="15"/>
      <c r="W29" s="15"/>
      <c r="X29" s="15"/>
      <c r="Y29" s="15"/>
      <c r="Z29" s="15"/>
    </row>
    <row r="30" spans="1:26" ht="42" customHeight="1" x14ac:dyDescent="0.3">
      <c r="A30" s="18" t="s">
        <v>97</v>
      </c>
      <c r="B30" s="18" t="s">
        <v>67</v>
      </c>
      <c r="C30" s="18" t="s">
        <v>98</v>
      </c>
      <c r="D30" s="18" t="s">
        <v>40</v>
      </c>
      <c r="E30" s="18">
        <v>3</v>
      </c>
      <c r="F30" s="20" t="s">
        <v>34</v>
      </c>
      <c r="G30" s="18" t="s">
        <v>87</v>
      </c>
      <c r="H30" s="18" t="s">
        <v>12</v>
      </c>
      <c r="I30" s="15"/>
      <c r="J30" s="15"/>
      <c r="K30" s="15"/>
      <c r="L30" s="15"/>
      <c r="M30" s="15"/>
      <c r="N30" s="15"/>
      <c r="O30" s="15"/>
      <c r="P30" s="15"/>
      <c r="Q30" s="15"/>
      <c r="R30" s="15"/>
      <c r="S30" s="15"/>
      <c r="T30" s="15"/>
      <c r="U30" s="15"/>
      <c r="V30" s="15"/>
      <c r="W30" s="15"/>
      <c r="X30" s="15"/>
      <c r="Y30" s="15"/>
      <c r="Z30" s="15"/>
    </row>
    <row r="31" spans="1:26" ht="42" customHeight="1" x14ac:dyDescent="0.3">
      <c r="A31" s="17" t="s">
        <v>99</v>
      </c>
      <c r="B31" s="17" t="s">
        <v>100</v>
      </c>
      <c r="C31" s="17" t="s">
        <v>101</v>
      </c>
      <c r="D31" s="17" t="s">
        <v>40</v>
      </c>
      <c r="E31" s="17">
        <v>5</v>
      </c>
      <c r="F31" s="20" t="s">
        <v>34</v>
      </c>
      <c r="G31" s="17" t="s">
        <v>87</v>
      </c>
      <c r="H31" s="17" t="s">
        <v>18</v>
      </c>
      <c r="I31" s="15"/>
      <c r="J31" s="15"/>
      <c r="K31" s="15"/>
      <c r="L31" s="15"/>
      <c r="M31" s="15"/>
      <c r="N31" s="15"/>
      <c r="O31" s="15"/>
      <c r="P31" s="15"/>
      <c r="Q31" s="15"/>
      <c r="R31" s="15"/>
      <c r="S31" s="15"/>
      <c r="T31" s="15"/>
      <c r="U31" s="15"/>
      <c r="V31" s="15"/>
      <c r="W31" s="15"/>
      <c r="X31" s="15"/>
      <c r="Y31" s="15"/>
      <c r="Z31" s="15"/>
    </row>
    <row r="32" spans="1:26" ht="42" customHeight="1" x14ac:dyDescent="0.3">
      <c r="A32" s="18" t="s">
        <v>102</v>
      </c>
      <c r="B32" s="18" t="s">
        <v>103</v>
      </c>
      <c r="C32" s="18" t="s">
        <v>104</v>
      </c>
      <c r="D32" s="18" t="s">
        <v>33</v>
      </c>
      <c r="E32" s="18">
        <v>5</v>
      </c>
      <c r="F32" s="20" t="s">
        <v>34</v>
      </c>
      <c r="G32" s="18" t="s">
        <v>87</v>
      </c>
      <c r="H32" s="17" t="s">
        <v>15</v>
      </c>
      <c r="J32" s="15"/>
      <c r="K32" s="15"/>
      <c r="L32" s="15"/>
      <c r="M32" s="15"/>
      <c r="N32" s="15"/>
      <c r="O32" s="15"/>
      <c r="P32" s="15"/>
      <c r="Q32" s="15"/>
      <c r="R32" s="15"/>
      <c r="S32" s="15"/>
      <c r="T32" s="15"/>
      <c r="U32" s="15"/>
      <c r="V32" s="15"/>
      <c r="W32" s="15"/>
      <c r="X32" s="15"/>
      <c r="Y32" s="15"/>
      <c r="Z32" s="15"/>
    </row>
    <row r="33" spans="1:26" ht="42" customHeight="1" x14ac:dyDescent="0.3">
      <c r="A33" s="17" t="s">
        <v>105</v>
      </c>
      <c r="B33" s="17" t="s">
        <v>80</v>
      </c>
      <c r="C33" s="17" t="s">
        <v>106</v>
      </c>
      <c r="D33" s="17" t="s">
        <v>33</v>
      </c>
      <c r="E33" s="17">
        <v>5</v>
      </c>
      <c r="F33" s="20" t="s">
        <v>34</v>
      </c>
      <c r="G33" s="17" t="s">
        <v>87</v>
      </c>
      <c r="H33" s="18" t="s">
        <v>9</v>
      </c>
      <c r="I33" s="15"/>
      <c r="J33" s="15"/>
      <c r="K33" s="15"/>
      <c r="L33" s="15"/>
      <c r="M33" s="15"/>
      <c r="N33" s="15"/>
      <c r="O33" s="15"/>
      <c r="P33" s="15"/>
      <c r="Q33" s="15"/>
      <c r="R33" s="15"/>
      <c r="S33" s="15"/>
      <c r="T33" s="15"/>
      <c r="U33" s="15"/>
      <c r="V33" s="15"/>
      <c r="W33" s="15"/>
      <c r="X33" s="15"/>
      <c r="Y33" s="15"/>
      <c r="Z33" s="15"/>
    </row>
    <row r="34" spans="1:26" ht="42" customHeight="1" x14ac:dyDescent="0.3">
      <c r="A34" s="18" t="s">
        <v>107</v>
      </c>
      <c r="B34" s="18" t="s">
        <v>80</v>
      </c>
      <c r="C34" s="18" t="s">
        <v>108</v>
      </c>
      <c r="D34" s="18" t="s">
        <v>33</v>
      </c>
      <c r="E34" s="18">
        <v>5</v>
      </c>
      <c r="F34" s="20" t="s">
        <v>34</v>
      </c>
      <c r="G34" s="18" t="s">
        <v>109</v>
      </c>
      <c r="H34" s="18" t="s">
        <v>6</v>
      </c>
      <c r="I34" s="15"/>
      <c r="J34" s="15"/>
      <c r="K34" s="15"/>
      <c r="L34" s="15"/>
      <c r="M34" s="15"/>
      <c r="N34" s="15"/>
      <c r="O34" s="15"/>
      <c r="P34" s="15"/>
      <c r="Q34" s="15"/>
      <c r="R34" s="15"/>
      <c r="S34" s="15"/>
      <c r="T34" s="15"/>
      <c r="U34" s="15"/>
      <c r="V34" s="15"/>
      <c r="W34" s="15"/>
      <c r="X34" s="15"/>
      <c r="Y34" s="15"/>
      <c r="Z34" s="15"/>
    </row>
    <row r="35" spans="1:26" ht="42" customHeight="1" x14ac:dyDescent="0.3">
      <c r="A35" s="17" t="s">
        <v>110</v>
      </c>
      <c r="B35" s="17" t="s">
        <v>85</v>
      </c>
      <c r="C35" s="17" t="s">
        <v>111</v>
      </c>
      <c r="D35" s="17" t="s">
        <v>33</v>
      </c>
      <c r="E35" s="17">
        <v>3</v>
      </c>
      <c r="F35" s="20" t="s">
        <v>34</v>
      </c>
      <c r="G35" s="17" t="s">
        <v>109</v>
      </c>
      <c r="H35" s="17" t="s">
        <v>6</v>
      </c>
      <c r="I35" s="15"/>
      <c r="J35" s="15"/>
      <c r="K35" s="15"/>
      <c r="L35" s="15"/>
      <c r="M35" s="15"/>
      <c r="N35" s="15"/>
      <c r="O35" s="15"/>
      <c r="P35" s="15"/>
      <c r="Q35" s="15"/>
      <c r="R35" s="15"/>
      <c r="S35" s="15"/>
      <c r="T35" s="15"/>
      <c r="U35" s="15"/>
      <c r="V35" s="15"/>
      <c r="W35" s="15"/>
      <c r="X35" s="15"/>
      <c r="Y35" s="15"/>
      <c r="Z35" s="15"/>
    </row>
    <row r="36" spans="1:26" ht="42" customHeight="1" x14ac:dyDescent="0.3">
      <c r="A36" s="18" t="s">
        <v>112</v>
      </c>
      <c r="B36" s="18" t="s">
        <v>85</v>
      </c>
      <c r="C36" s="18" t="s">
        <v>113</v>
      </c>
      <c r="D36" s="18" t="s">
        <v>33</v>
      </c>
      <c r="E36" s="18">
        <v>5</v>
      </c>
      <c r="F36" s="20" t="s">
        <v>34</v>
      </c>
      <c r="G36" s="18" t="s">
        <v>109</v>
      </c>
      <c r="H36" s="18" t="s">
        <v>6</v>
      </c>
      <c r="I36" s="15"/>
      <c r="J36" s="15"/>
      <c r="K36" s="15"/>
      <c r="L36" s="15"/>
      <c r="M36" s="15"/>
      <c r="N36" s="15"/>
      <c r="O36" s="15"/>
      <c r="P36" s="15"/>
      <c r="Q36" s="15"/>
      <c r="R36" s="15"/>
      <c r="S36" s="15"/>
      <c r="T36" s="15"/>
      <c r="U36" s="15"/>
      <c r="V36" s="15"/>
      <c r="W36" s="15"/>
      <c r="X36" s="15"/>
      <c r="Y36" s="15"/>
      <c r="Z36" s="15"/>
    </row>
    <row r="37" spans="1:26" ht="42" customHeight="1" x14ac:dyDescent="0.3">
      <c r="A37" s="17" t="s">
        <v>114</v>
      </c>
      <c r="B37" s="17" t="s">
        <v>85</v>
      </c>
      <c r="C37" s="17" t="s">
        <v>115</v>
      </c>
      <c r="D37" s="17" t="s">
        <v>40</v>
      </c>
      <c r="E37" s="17">
        <v>3</v>
      </c>
      <c r="F37" s="20" t="s">
        <v>34</v>
      </c>
      <c r="G37" s="17" t="s">
        <v>109</v>
      </c>
      <c r="H37" s="17" t="s">
        <v>6</v>
      </c>
      <c r="I37" s="15"/>
      <c r="J37" s="15"/>
      <c r="K37" s="15"/>
      <c r="L37" s="15"/>
      <c r="M37" s="15"/>
      <c r="N37" s="15"/>
      <c r="O37" s="15"/>
      <c r="P37" s="15"/>
      <c r="Q37" s="15"/>
      <c r="R37" s="15"/>
      <c r="S37" s="15"/>
      <c r="T37" s="15"/>
      <c r="U37" s="15"/>
      <c r="V37" s="15"/>
      <c r="W37" s="15"/>
      <c r="X37" s="15"/>
      <c r="Y37" s="15"/>
      <c r="Z37" s="15"/>
    </row>
    <row r="38" spans="1:26" ht="42" customHeight="1" x14ac:dyDescent="0.3">
      <c r="A38" s="18" t="s">
        <v>116</v>
      </c>
      <c r="B38" s="18" t="s">
        <v>85</v>
      </c>
      <c r="C38" s="18" t="s">
        <v>117</v>
      </c>
      <c r="D38" s="18" t="s">
        <v>33</v>
      </c>
      <c r="E38" s="18">
        <v>5</v>
      </c>
      <c r="F38" s="20" t="s">
        <v>34</v>
      </c>
      <c r="G38" s="18" t="s">
        <v>109</v>
      </c>
      <c r="H38" s="18" t="s">
        <v>6</v>
      </c>
      <c r="I38" s="15"/>
      <c r="J38" s="15"/>
      <c r="K38" s="15"/>
      <c r="L38" s="15"/>
      <c r="M38" s="15"/>
      <c r="N38" s="15"/>
      <c r="O38" s="15"/>
      <c r="P38" s="15"/>
      <c r="Q38" s="15"/>
      <c r="R38" s="15"/>
      <c r="S38" s="15"/>
      <c r="T38" s="15"/>
      <c r="U38" s="15"/>
      <c r="V38" s="15"/>
      <c r="W38" s="15"/>
      <c r="X38" s="15"/>
      <c r="Y38" s="15"/>
      <c r="Z38" s="15"/>
    </row>
    <row r="39" spans="1:26" ht="42" customHeight="1" x14ac:dyDescent="0.3">
      <c r="A39" s="17" t="s">
        <v>119</v>
      </c>
      <c r="B39" s="17" t="s">
        <v>120</v>
      </c>
      <c r="C39" s="17" t="s">
        <v>121</v>
      </c>
      <c r="D39" s="17" t="s">
        <v>40</v>
      </c>
      <c r="E39" s="17">
        <v>5</v>
      </c>
      <c r="F39" s="20" t="s">
        <v>34</v>
      </c>
      <c r="G39" s="17" t="s">
        <v>109</v>
      </c>
      <c r="H39" s="17" t="s">
        <v>12</v>
      </c>
      <c r="I39" s="15"/>
      <c r="J39" s="15"/>
      <c r="K39" s="15"/>
      <c r="L39" s="15"/>
      <c r="M39" s="15"/>
      <c r="N39" s="15"/>
      <c r="O39" s="15"/>
      <c r="P39" s="15"/>
      <c r="Q39" s="15"/>
      <c r="R39" s="15"/>
      <c r="S39" s="15"/>
      <c r="T39" s="15"/>
      <c r="U39" s="15"/>
      <c r="V39" s="15"/>
      <c r="W39" s="15"/>
      <c r="X39" s="15"/>
      <c r="Y39" s="15"/>
      <c r="Z39" s="15"/>
    </row>
    <row r="40" spans="1:26" ht="42" customHeight="1" x14ac:dyDescent="0.3">
      <c r="A40" s="18" t="s">
        <v>122</v>
      </c>
      <c r="B40" s="18" t="s">
        <v>120</v>
      </c>
      <c r="C40" s="18" t="s">
        <v>123</v>
      </c>
      <c r="D40" s="18" t="s">
        <v>33</v>
      </c>
      <c r="E40" s="18">
        <v>5</v>
      </c>
      <c r="F40" s="20" t="s">
        <v>34</v>
      </c>
      <c r="G40" s="18" t="s">
        <v>109</v>
      </c>
      <c r="H40" s="17" t="s">
        <v>18</v>
      </c>
      <c r="I40" s="15"/>
      <c r="J40" s="15"/>
      <c r="K40" s="15"/>
      <c r="L40" s="15"/>
      <c r="M40" s="15"/>
      <c r="N40" s="15"/>
      <c r="O40" s="15"/>
      <c r="P40" s="15"/>
      <c r="Q40" s="15"/>
      <c r="R40" s="15"/>
      <c r="S40" s="15"/>
      <c r="T40" s="15"/>
      <c r="U40" s="15"/>
      <c r="V40" s="15"/>
      <c r="W40" s="15"/>
      <c r="X40" s="15"/>
      <c r="Y40" s="15"/>
      <c r="Z40" s="15"/>
    </row>
    <row r="41" spans="1:26" ht="42" customHeight="1" x14ac:dyDescent="0.3">
      <c r="A41" s="17" t="s">
        <v>124</v>
      </c>
      <c r="B41" s="17" t="s">
        <v>120</v>
      </c>
      <c r="C41" s="17" t="s">
        <v>125</v>
      </c>
      <c r="D41" s="17" t="s">
        <v>33</v>
      </c>
      <c r="E41" s="17">
        <v>3</v>
      </c>
      <c r="F41" s="20" t="s">
        <v>34</v>
      </c>
      <c r="G41" s="17" t="s">
        <v>109</v>
      </c>
      <c r="H41" s="17" t="s">
        <v>18</v>
      </c>
      <c r="I41" s="15"/>
      <c r="J41" s="15"/>
      <c r="K41" s="15"/>
      <c r="L41" s="15"/>
      <c r="M41" s="15"/>
      <c r="N41" s="15"/>
      <c r="O41" s="15"/>
      <c r="P41" s="15"/>
      <c r="Q41" s="15"/>
      <c r="R41" s="15"/>
      <c r="S41" s="15"/>
      <c r="T41" s="15"/>
      <c r="U41" s="15"/>
      <c r="V41" s="15"/>
      <c r="W41" s="15"/>
      <c r="X41" s="15"/>
      <c r="Y41" s="15"/>
      <c r="Z41" s="15"/>
    </row>
    <row r="42" spans="1:26" ht="42" customHeight="1" x14ac:dyDescent="0.3">
      <c r="A42" s="18" t="s">
        <v>126</v>
      </c>
      <c r="B42" s="18" t="s">
        <v>91</v>
      </c>
      <c r="C42" s="18" t="s">
        <v>127</v>
      </c>
      <c r="D42" s="18" t="s">
        <v>40</v>
      </c>
      <c r="E42" s="18">
        <v>3</v>
      </c>
      <c r="F42" s="20" t="s">
        <v>34</v>
      </c>
      <c r="G42" s="18" t="s">
        <v>109</v>
      </c>
      <c r="H42" s="17" t="s">
        <v>15</v>
      </c>
      <c r="J42" s="15"/>
      <c r="K42" s="15"/>
      <c r="L42" s="15"/>
      <c r="M42" s="15"/>
      <c r="N42" s="15"/>
      <c r="O42" s="15"/>
      <c r="P42" s="15"/>
      <c r="Q42" s="15"/>
      <c r="R42" s="15"/>
      <c r="S42" s="15"/>
      <c r="T42" s="15"/>
      <c r="U42" s="15"/>
      <c r="V42" s="15"/>
      <c r="W42" s="15"/>
      <c r="X42" s="15"/>
      <c r="Y42" s="15"/>
      <c r="Z42" s="15"/>
    </row>
    <row r="43" spans="1:26" ht="42" customHeight="1" x14ac:dyDescent="0.3">
      <c r="A43" s="17" t="s">
        <v>128</v>
      </c>
      <c r="B43" s="17" t="s">
        <v>80</v>
      </c>
      <c r="C43" s="17" t="s">
        <v>129</v>
      </c>
      <c r="D43" s="17" t="s">
        <v>40</v>
      </c>
      <c r="E43" s="17">
        <v>3</v>
      </c>
      <c r="F43" s="20" t="s">
        <v>34</v>
      </c>
      <c r="G43" s="17" t="s">
        <v>109</v>
      </c>
      <c r="H43" s="18" t="s">
        <v>9</v>
      </c>
      <c r="I43" s="15"/>
      <c r="J43" s="15"/>
      <c r="K43" s="15"/>
      <c r="L43" s="15"/>
      <c r="M43" s="15"/>
      <c r="N43" s="15"/>
      <c r="O43" s="15"/>
      <c r="P43" s="15"/>
      <c r="Q43" s="15"/>
      <c r="R43" s="15"/>
      <c r="S43" s="15"/>
      <c r="T43" s="15"/>
      <c r="U43" s="15"/>
      <c r="V43" s="15"/>
      <c r="W43" s="15"/>
      <c r="X43" s="15"/>
      <c r="Y43" s="15"/>
      <c r="Z43" s="15"/>
    </row>
    <row r="44" spans="1:26" ht="42" customHeight="1" x14ac:dyDescent="0.3">
      <c r="A44" s="18" t="s">
        <v>130</v>
      </c>
      <c r="B44" s="18" t="s">
        <v>52</v>
      </c>
      <c r="C44" s="18" t="s">
        <v>131</v>
      </c>
      <c r="D44" s="18" t="s">
        <v>33</v>
      </c>
      <c r="E44" s="18">
        <v>3</v>
      </c>
      <c r="F44" s="20" t="s">
        <v>34</v>
      </c>
      <c r="G44" s="18" t="s">
        <v>87</v>
      </c>
      <c r="H44" s="17" t="s">
        <v>6</v>
      </c>
      <c r="I44" s="15"/>
      <c r="J44" s="15"/>
      <c r="K44" s="15"/>
      <c r="L44" s="15"/>
      <c r="M44" s="15"/>
      <c r="N44" s="15"/>
      <c r="O44" s="15"/>
      <c r="P44" s="15"/>
      <c r="Q44" s="15"/>
      <c r="R44" s="15"/>
      <c r="S44" s="15"/>
      <c r="T44" s="15"/>
      <c r="U44" s="15"/>
      <c r="V44" s="15"/>
      <c r="W44" s="15"/>
      <c r="X44" s="15"/>
      <c r="Y44" s="15"/>
      <c r="Z44" s="15"/>
    </row>
    <row r="45" spans="1:26" ht="69.75" customHeight="1" x14ac:dyDescent="0.3">
      <c r="A45" s="25" t="s">
        <v>132</v>
      </c>
      <c r="B45" s="25" t="s">
        <v>52</v>
      </c>
      <c r="C45" s="25" t="s">
        <v>133</v>
      </c>
      <c r="D45" s="25" t="s">
        <v>33</v>
      </c>
      <c r="E45" s="25">
        <v>5</v>
      </c>
      <c r="F45" s="24" t="s">
        <v>118</v>
      </c>
      <c r="G45" s="25" t="s">
        <v>134</v>
      </c>
      <c r="H45" s="25" t="s">
        <v>6</v>
      </c>
      <c r="I45" s="15"/>
      <c r="J45" s="15"/>
      <c r="K45" s="15"/>
      <c r="L45" s="15"/>
      <c r="M45" s="15"/>
      <c r="N45" s="15"/>
      <c r="O45" s="15"/>
      <c r="P45" s="15"/>
      <c r="Q45" s="15"/>
      <c r="R45" s="15"/>
      <c r="S45" s="15"/>
      <c r="T45" s="15"/>
      <c r="U45" s="15"/>
      <c r="V45" s="15"/>
      <c r="W45" s="15"/>
      <c r="X45" s="15"/>
      <c r="Y45" s="15"/>
      <c r="Z45" s="15"/>
    </row>
    <row r="46" spans="1:26" ht="57" customHeight="1" x14ac:dyDescent="0.3">
      <c r="A46" s="26" t="s">
        <v>135</v>
      </c>
      <c r="B46" s="26" t="s">
        <v>52</v>
      </c>
      <c r="C46" s="26" t="s">
        <v>136</v>
      </c>
      <c r="D46" s="26" t="s">
        <v>33</v>
      </c>
      <c r="E46" s="26">
        <v>5</v>
      </c>
      <c r="F46" s="23" t="s">
        <v>118</v>
      </c>
      <c r="G46" s="26" t="s">
        <v>134</v>
      </c>
      <c r="H46" s="26" t="s">
        <v>6</v>
      </c>
      <c r="I46" s="15"/>
      <c r="J46" s="15"/>
      <c r="K46" s="15"/>
      <c r="L46" s="15"/>
      <c r="M46" s="15"/>
      <c r="N46" s="15"/>
      <c r="O46" s="15"/>
      <c r="P46" s="15"/>
      <c r="Q46" s="15"/>
      <c r="R46" s="15"/>
      <c r="S46" s="15"/>
      <c r="T46" s="15"/>
      <c r="U46" s="15"/>
      <c r="V46" s="15"/>
      <c r="W46" s="15"/>
      <c r="X46" s="15"/>
      <c r="Y46" s="15"/>
      <c r="Z46" s="15"/>
    </row>
    <row r="47" spans="1:26" ht="44.25" customHeight="1" x14ac:dyDescent="0.3">
      <c r="A47" s="25" t="s">
        <v>137</v>
      </c>
      <c r="B47" s="25" t="s">
        <v>138</v>
      </c>
      <c r="C47" s="25" t="s">
        <v>139</v>
      </c>
      <c r="D47" s="25" t="s">
        <v>33</v>
      </c>
      <c r="E47" s="25">
        <v>5</v>
      </c>
      <c r="F47" s="24" t="s">
        <v>118</v>
      </c>
      <c r="G47" s="25" t="s">
        <v>134</v>
      </c>
      <c r="H47" s="25" t="s">
        <v>6</v>
      </c>
      <c r="I47" s="15"/>
      <c r="J47" s="15"/>
      <c r="K47" s="15"/>
      <c r="L47" s="15"/>
      <c r="M47" s="15"/>
      <c r="N47" s="15"/>
      <c r="O47" s="15"/>
      <c r="P47" s="15"/>
      <c r="Q47" s="15"/>
      <c r="R47" s="15"/>
      <c r="S47" s="15"/>
      <c r="T47" s="15"/>
      <c r="U47" s="15"/>
      <c r="V47" s="15"/>
      <c r="W47" s="15"/>
      <c r="X47" s="15"/>
      <c r="Y47" s="15"/>
      <c r="Z47" s="15"/>
    </row>
    <row r="48" spans="1:26" ht="44.25" customHeight="1" x14ac:dyDescent="0.3">
      <c r="A48" s="26" t="s">
        <v>140</v>
      </c>
      <c r="B48" s="26" t="s">
        <v>138</v>
      </c>
      <c r="C48" s="26" t="s">
        <v>141</v>
      </c>
      <c r="D48" s="26" t="s">
        <v>33</v>
      </c>
      <c r="E48" s="26">
        <v>5</v>
      </c>
      <c r="F48" s="23" t="s">
        <v>118</v>
      </c>
      <c r="G48" s="26" t="s">
        <v>134</v>
      </c>
      <c r="H48" s="26" t="s">
        <v>6</v>
      </c>
      <c r="I48" s="15"/>
      <c r="J48" s="15"/>
      <c r="K48" s="15"/>
      <c r="L48" s="15"/>
      <c r="M48" s="15"/>
      <c r="N48" s="15"/>
      <c r="O48" s="15"/>
      <c r="P48" s="15"/>
      <c r="Q48" s="15"/>
      <c r="R48" s="15"/>
      <c r="S48" s="15"/>
      <c r="T48" s="15"/>
      <c r="U48" s="15"/>
      <c r="V48" s="15"/>
      <c r="W48" s="15"/>
      <c r="X48" s="15"/>
      <c r="Y48" s="15"/>
      <c r="Z48" s="15"/>
    </row>
    <row r="49" spans="1:26" ht="44.25" customHeight="1" x14ac:dyDescent="0.3">
      <c r="A49" s="25" t="s">
        <v>142</v>
      </c>
      <c r="B49" s="25" t="s">
        <v>138</v>
      </c>
      <c r="C49" s="25" t="s">
        <v>143</v>
      </c>
      <c r="D49" s="25" t="s">
        <v>33</v>
      </c>
      <c r="E49" s="25">
        <v>5</v>
      </c>
      <c r="F49" s="24" t="s">
        <v>118</v>
      </c>
      <c r="G49" s="25" t="s">
        <v>134</v>
      </c>
      <c r="H49" s="25" t="s">
        <v>6</v>
      </c>
      <c r="I49" s="15"/>
      <c r="J49" s="15"/>
      <c r="K49" s="15"/>
      <c r="L49" s="15"/>
      <c r="M49" s="15"/>
      <c r="N49" s="15"/>
      <c r="O49" s="15"/>
      <c r="P49" s="15"/>
      <c r="Q49" s="15"/>
      <c r="R49" s="15"/>
      <c r="S49" s="15"/>
      <c r="T49" s="15"/>
      <c r="U49" s="15"/>
      <c r="V49" s="15"/>
      <c r="W49" s="15"/>
      <c r="X49" s="15"/>
      <c r="Y49" s="15"/>
      <c r="Z49" s="15"/>
    </row>
    <row r="50" spans="1:26" ht="44.25" customHeight="1" x14ac:dyDescent="0.3">
      <c r="A50" s="26" t="s">
        <v>144</v>
      </c>
      <c r="B50" s="26" t="s">
        <v>42</v>
      </c>
      <c r="C50" s="26" t="s">
        <v>145</v>
      </c>
      <c r="D50" s="26" t="s">
        <v>33</v>
      </c>
      <c r="E50" s="26">
        <v>5</v>
      </c>
      <c r="F50" s="23" t="s">
        <v>118</v>
      </c>
      <c r="G50" s="26" t="s">
        <v>134</v>
      </c>
      <c r="H50" s="26" t="s">
        <v>6</v>
      </c>
      <c r="I50" s="15"/>
      <c r="J50" s="15"/>
      <c r="K50" s="15"/>
      <c r="L50" s="15"/>
      <c r="M50" s="15"/>
      <c r="N50" s="15"/>
      <c r="O50" s="15"/>
      <c r="P50" s="15"/>
      <c r="Q50" s="15"/>
      <c r="R50" s="15"/>
      <c r="S50" s="15"/>
      <c r="T50" s="15"/>
      <c r="U50" s="15"/>
      <c r="V50" s="15"/>
      <c r="W50" s="15"/>
      <c r="X50" s="15"/>
      <c r="Y50" s="15"/>
      <c r="Z50" s="15"/>
    </row>
    <row r="51" spans="1:26" ht="44.25" customHeight="1" x14ac:dyDescent="0.3">
      <c r="A51" s="25" t="s">
        <v>146</v>
      </c>
      <c r="B51" s="25" t="s">
        <v>80</v>
      </c>
      <c r="C51" s="25" t="s">
        <v>147</v>
      </c>
      <c r="D51" s="25" t="s">
        <v>33</v>
      </c>
      <c r="E51" s="25">
        <v>5</v>
      </c>
      <c r="F51" s="24" t="s">
        <v>118</v>
      </c>
      <c r="G51" s="25" t="s">
        <v>134</v>
      </c>
      <c r="H51" s="25" t="s">
        <v>6</v>
      </c>
      <c r="I51" s="15"/>
      <c r="J51" s="15"/>
      <c r="K51" s="15"/>
      <c r="L51" s="15"/>
      <c r="M51" s="15"/>
      <c r="N51" s="15"/>
      <c r="O51" s="15"/>
      <c r="P51" s="15"/>
      <c r="Q51" s="15"/>
      <c r="R51" s="15"/>
      <c r="S51" s="15"/>
      <c r="T51" s="15"/>
      <c r="U51" s="15"/>
      <c r="V51" s="15"/>
      <c r="W51" s="15"/>
      <c r="X51" s="15"/>
      <c r="Y51" s="15"/>
      <c r="Z51" s="15"/>
    </row>
    <row r="52" spans="1:26" ht="69.75" customHeight="1" x14ac:dyDescent="0.3">
      <c r="A52" s="26" t="s">
        <v>148</v>
      </c>
      <c r="B52" s="26" t="s">
        <v>91</v>
      </c>
      <c r="C52" s="26" t="s">
        <v>149</v>
      </c>
      <c r="D52" s="26" t="s">
        <v>33</v>
      </c>
      <c r="E52" s="26">
        <v>8</v>
      </c>
      <c r="F52" s="23" t="s">
        <v>118</v>
      </c>
      <c r="G52" s="26" t="s">
        <v>134</v>
      </c>
      <c r="H52" s="26" t="s">
        <v>6</v>
      </c>
      <c r="I52" s="15"/>
      <c r="J52" s="15"/>
      <c r="K52" s="15"/>
      <c r="L52" s="15"/>
      <c r="M52" s="15"/>
      <c r="N52" s="15"/>
      <c r="O52" s="15"/>
      <c r="P52" s="15"/>
      <c r="Q52" s="15"/>
      <c r="R52" s="15"/>
      <c r="S52" s="15"/>
      <c r="T52" s="15"/>
      <c r="U52" s="15"/>
      <c r="V52" s="15"/>
      <c r="W52" s="15"/>
      <c r="X52" s="15"/>
      <c r="Y52" s="15"/>
      <c r="Z52" s="15"/>
    </row>
    <row r="53" spans="1:26" ht="57" customHeight="1" x14ac:dyDescent="0.3">
      <c r="A53" s="25" t="s">
        <v>150</v>
      </c>
      <c r="B53" s="25" t="s">
        <v>91</v>
      </c>
      <c r="C53" s="25" t="s">
        <v>151</v>
      </c>
      <c r="D53" s="25" t="s">
        <v>33</v>
      </c>
      <c r="E53" s="25">
        <v>8</v>
      </c>
      <c r="F53" s="24" t="s">
        <v>118</v>
      </c>
      <c r="G53" s="25" t="s">
        <v>134</v>
      </c>
      <c r="H53" s="25" t="s">
        <v>6</v>
      </c>
      <c r="I53" s="15"/>
      <c r="J53" s="15"/>
      <c r="K53" s="15"/>
      <c r="L53" s="15"/>
      <c r="M53" s="15"/>
      <c r="N53" s="15"/>
      <c r="O53" s="15"/>
      <c r="P53" s="15"/>
      <c r="Q53" s="15"/>
      <c r="R53" s="15"/>
      <c r="S53" s="15"/>
      <c r="T53" s="15"/>
      <c r="U53" s="15"/>
      <c r="V53" s="15"/>
      <c r="W53" s="15"/>
      <c r="X53" s="15"/>
      <c r="Y53" s="15"/>
      <c r="Z53" s="15"/>
    </row>
    <row r="54" spans="1:26" ht="44.25" customHeight="1" x14ac:dyDescent="0.3">
      <c r="A54" s="26" t="s">
        <v>152</v>
      </c>
      <c r="B54" s="26" t="s">
        <v>91</v>
      </c>
      <c r="C54" s="26" t="s">
        <v>153</v>
      </c>
      <c r="D54" s="26" t="s">
        <v>33</v>
      </c>
      <c r="E54" s="26">
        <v>5</v>
      </c>
      <c r="F54" s="23" t="s">
        <v>118</v>
      </c>
      <c r="G54" s="26" t="s">
        <v>134</v>
      </c>
      <c r="H54" s="26" t="s">
        <v>6</v>
      </c>
      <c r="I54" s="15"/>
      <c r="J54" s="15"/>
      <c r="K54" s="15"/>
      <c r="L54" s="15"/>
      <c r="M54" s="15"/>
      <c r="N54" s="15"/>
      <c r="O54" s="15"/>
      <c r="P54" s="15"/>
      <c r="Q54" s="15"/>
      <c r="R54" s="15"/>
      <c r="S54" s="15"/>
      <c r="T54" s="15"/>
      <c r="U54" s="15"/>
      <c r="V54" s="15"/>
      <c r="W54" s="15"/>
      <c r="X54" s="15"/>
      <c r="Y54" s="15"/>
      <c r="Z54" s="15"/>
    </row>
    <row r="55" spans="1:26" ht="57" customHeight="1" x14ac:dyDescent="0.3">
      <c r="A55" s="25" t="s">
        <v>154</v>
      </c>
      <c r="B55" s="25" t="s">
        <v>91</v>
      </c>
      <c r="C55" s="25" t="s">
        <v>155</v>
      </c>
      <c r="D55" s="25" t="s">
        <v>33</v>
      </c>
      <c r="E55" s="25">
        <v>5</v>
      </c>
      <c r="F55" s="24" t="s">
        <v>118</v>
      </c>
      <c r="G55" s="25" t="s">
        <v>134</v>
      </c>
      <c r="H55" s="25" t="s">
        <v>12</v>
      </c>
      <c r="I55" s="15"/>
      <c r="J55" s="15"/>
      <c r="K55" s="15"/>
      <c r="L55" s="15"/>
      <c r="M55" s="15"/>
      <c r="N55" s="15"/>
      <c r="O55" s="15"/>
      <c r="P55" s="15"/>
      <c r="Q55" s="15"/>
      <c r="R55" s="15"/>
      <c r="S55" s="15"/>
      <c r="T55" s="15"/>
      <c r="U55" s="15"/>
      <c r="V55" s="15"/>
      <c r="W55" s="15"/>
      <c r="X55" s="15"/>
      <c r="Y55" s="15"/>
      <c r="Z55" s="15"/>
    </row>
    <row r="56" spans="1:26" ht="57" customHeight="1" x14ac:dyDescent="0.3">
      <c r="A56" s="26" t="s">
        <v>156</v>
      </c>
      <c r="B56" s="26" t="s">
        <v>91</v>
      </c>
      <c r="C56" s="26" t="s">
        <v>157</v>
      </c>
      <c r="D56" s="26" t="s">
        <v>33</v>
      </c>
      <c r="E56" s="26">
        <v>8</v>
      </c>
      <c r="F56" s="23" t="s">
        <v>118</v>
      </c>
      <c r="G56" s="26" t="s">
        <v>134</v>
      </c>
      <c r="H56" s="26" t="s">
        <v>12</v>
      </c>
      <c r="I56" s="15"/>
      <c r="J56" s="15"/>
      <c r="K56" s="15"/>
      <c r="L56" s="15"/>
      <c r="M56" s="15"/>
      <c r="N56" s="15"/>
      <c r="O56" s="15"/>
      <c r="P56" s="15"/>
      <c r="Q56" s="15"/>
      <c r="R56" s="15"/>
      <c r="S56" s="15"/>
      <c r="T56" s="15"/>
      <c r="U56" s="15"/>
      <c r="V56" s="15"/>
      <c r="W56" s="15"/>
      <c r="X56" s="15"/>
      <c r="Y56" s="15"/>
      <c r="Z56" s="15"/>
    </row>
    <row r="57" spans="1:26" ht="44.25" customHeight="1" x14ac:dyDescent="0.3">
      <c r="A57" s="25" t="s">
        <v>158</v>
      </c>
      <c r="B57" s="25" t="s">
        <v>42</v>
      </c>
      <c r="C57" s="25" t="s">
        <v>159</v>
      </c>
      <c r="D57" s="25" t="s">
        <v>33</v>
      </c>
      <c r="E57" s="25">
        <v>8</v>
      </c>
      <c r="F57" s="24" t="s">
        <v>118</v>
      </c>
      <c r="G57" s="25" t="s">
        <v>134</v>
      </c>
      <c r="H57" s="25" t="s">
        <v>18</v>
      </c>
      <c r="I57" s="15"/>
      <c r="J57" s="15"/>
      <c r="K57" s="15"/>
      <c r="L57" s="15"/>
      <c r="M57" s="15"/>
      <c r="N57" s="15"/>
      <c r="O57" s="15"/>
      <c r="P57" s="15"/>
      <c r="Q57" s="15"/>
      <c r="R57" s="15"/>
      <c r="S57" s="15"/>
      <c r="T57" s="15"/>
      <c r="U57" s="15"/>
      <c r="V57" s="15"/>
      <c r="W57" s="15"/>
      <c r="X57" s="15"/>
      <c r="Y57" s="15"/>
      <c r="Z57" s="15"/>
    </row>
    <row r="58" spans="1:26" ht="44.25" customHeight="1" x14ac:dyDescent="0.3">
      <c r="A58" s="26" t="s">
        <v>160</v>
      </c>
      <c r="B58" s="26" t="s">
        <v>91</v>
      </c>
      <c r="C58" s="26" t="s">
        <v>161</v>
      </c>
      <c r="D58" s="26" t="s">
        <v>40</v>
      </c>
      <c r="E58" s="26">
        <v>5</v>
      </c>
      <c r="F58" s="23" t="s">
        <v>118</v>
      </c>
      <c r="G58" s="26" t="s">
        <v>134</v>
      </c>
      <c r="H58" s="26" t="s">
        <v>18</v>
      </c>
      <c r="I58" s="15"/>
      <c r="J58" s="15"/>
      <c r="K58" s="15"/>
      <c r="L58" s="15"/>
      <c r="M58" s="15"/>
      <c r="N58" s="15"/>
      <c r="O58" s="15"/>
      <c r="P58" s="15"/>
      <c r="Q58" s="15"/>
      <c r="R58" s="15"/>
      <c r="S58" s="15"/>
      <c r="T58" s="15"/>
      <c r="U58" s="15"/>
      <c r="V58" s="15"/>
      <c r="W58" s="15"/>
      <c r="X58" s="15"/>
      <c r="Y58" s="15"/>
      <c r="Z58" s="15"/>
    </row>
    <row r="59" spans="1:26" ht="57" customHeight="1" x14ac:dyDescent="0.3">
      <c r="A59" s="25" t="s">
        <v>162</v>
      </c>
      <c r="B59" s="25" t="s">
        <v>91</v>
      </c>
      <c r="C59" s="25" t="s">
        <v>163</v>
      </c>
      <c r="D59" s="25" t="s">
        <v>40</v>
      </c>
      <c r="E59" s="25">
        <v>5</v>
      </c>
      <c r="F59" s="24" t="s">
        <v>118</v>
      </c>
      <c r="G59" s="25" t="s">
        <v>134</v>
      </c>
      <c r="H59" s="25" t="s">
        <v>15</v>
      </c>
      <c r="I59" s="15"/>
      <c r="J59" s="15"/>
      <c r="K59" s="15"/>
      <c r="L59" s="15"/>
      <c r="M59" s="15"/>
      <c r="N59" s="15"/>
      <c r="O59" s="15"/>
      <c r="P59" s="15"/>
      <c r="Q59" s="15"/>
      <c r="R59" s="15"/>
      <c r="S59" s="15"/>
      <c r="T59" s="15"/>
      <c r="U59" s="15"/>
      <c r="V59" s="15"/>
      <c r="W59" s="15"/>
      <c r="X59" s="15"/>
      <c r="Y59" s="15"/>
      <c r="Z59" s="15"/>
    </row>
    <row r="60" spans="1:26" ht="44.25" customHeight="1" x14ac:dyDescent="0.3">
      <c r="A60" s="26" t="s">
        <v>164</v>
      </c>
      <c r="B60" s="26" t="s">
        <v>91</v>
      </c>
      <c r="C60" s="26" t="s">
        <v>165</v>
      </c>
      <c r="D60" s="26" t="s">
        <v>40</v>
      </c>
      <c r="E60" s="26">
        <v>5</v>
      </c>
      <c r="F60" s="23" t="s">
        <v>118</v>
      </c>
      <c r="G60" s="26" t="s">
        <v>134</v>
      </c>
      <c r="H60" s="26" t="s">
        <v>15</v>
      </c>
      <c r="I60" s="15"/>
      <c r="J60" s="15"/>
      <c r="K60" s="15"/>
      <c r="L60" s="15"/>
      <c r="M60" s="15"/>
      <c r="N60" s="15"/>
      <c r="O60" s="15"/>
      <c r="P60" s="15"/>
      <c r="Q60" s="15"/>
      <c r="R60" s="15"/>
      <c r="S60" s="15"/>
      <c r="T60" s="15"/>
      <c r="U60" s="15"/>
      <c r="V60" s="15"/>
      <c r="W60" s="15"/>
      <c r="X60" s="15"/>
      <c r="Y60" s="15"/>
      <c r="Z60" s="15"/>
    </row>
    <row r="61" spans="1:26" ht="69.75" customHeight="1" x14ac:dyDescent="0.3">
      <c r="A61" s="25" t="s">
        <v>166</v>
      </c>
      <c r="B61" s="25" t="s">
        <v>91</v>
      </c>
      <c r="C61" s="25" t="s">
        <v>167</v>
      </c>
      <c r="D61" s="25" t="s">
        <v>33</v>
      </c>
      <c r="E61" s="25">
        <v>5</v>
      </c>
      <c r="F61" s="24" t="s">
        <v>118</v>
      </c>
      <c r="G61" s="25" t="s">
        <v>134</v>
      </c>
      <c r="H61" s="25" t="s">
        <v>9</v>
      </c>
      <c r="I61" s="15"/>
      <c r="J61" s="15"/>
      <c r="K61" s="15"/>
      <c r="L61" s="15"/>
      <c r="M61" s="15"/>
      <c r="N61" s="15"/>
      <c r="O61" s="15"/>
      <c r="P61" s="15"/>
      <c r="Q61" s="15"/>
      <c r="R61" s="15"/>
      <c r="S61" s="15"/>
      <c r="T61" s="15"/>
      <c r="U61" s="15"/>
      <c r="V61" s="15"/>
      <c r="W61" s="15"/>
      <c r="X61" s="15"/>
      <c r="Y61" s="15"/>
      <c r="Z61" s="15"/>
    </row>
    <row r="62" spans="1:26" ht="44.25" customHeight="1" x14ac:dyDescent="0.3">
      <c r="A62" s="26" t="s">
        <v>168</v>
      </c>
      <c r="B62" s="26" t="s">
        <v>85</v>
      </c>
      <c r="C62" s="26" t="s">
        <v>169</v>
      </c>
      <c r="D62" s="26" t="s">
        <v>33</v>
      </c>
      <c r="E62" s="26">
        <v>5</v>
      </c>
      <c r="F62" s="23" t="s">
        <v>118</v>
      </c>
      <c r="G62" s="26" t="s">
        <v>134</v>
      </c>
      <c r="H62" s="26" t="s">
        <v>9</v>
      </c>
      <c r="I62" s="15"/>
      <c r="J62" s="15"/>
      <c r="K62" s="15"/>
      <c r="L62" s="15"/>
      <c r="M62" s="15"/>
      <c r="N62" s="15"/>
      <c r="O62" s="15"/>
      <c r="P62" s="15"/>
      <c r="Q62" s="15"/>
      <c r="R62" s="15"/>
      <c r="S62" s="15"/>
      <c r="T62" s="15"/>
      <c r="U62" s="15"/>
      <c r="V62" s="15"/>
      <c r="W62" s="15"/>
      <c r="X62" s="15"/>
      <c r="Y62" s="15"/>
      <c r="Z62" s="15"/>
    </row>
    <row r="63" spans="1:26" ht="15.75" customHeight="1"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ustomHeight="1"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customHeight="1"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customHeight="1"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customHeight="1"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customHeight="1"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customHeight="1"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customHeight="1"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customHeight="1"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customHeight="1"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customHeight="1"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customHeight="1"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customHeight="1"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75" customHeight="1"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75" customHeight="1"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75" customHeight="1"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75" customHeight="1"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75" customHeigh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75" customHeigh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75" customHeigh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75" customHeigh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75" customHeigh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75" customHeigh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75" customHeight="1"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75" customHeight="1"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75" customHeight="1" x14ac:dyDescent="0.3">
      <c r="A245" s="19"/>
      <c r="B245" s="19"/>
      <c r="C245" s="19"/>
      <c r="D245" s="19"/>
      <c r="E245" s="19"/>
      <c r="F245" s="19"/>
      <c r="G245" s="19"/>
      <c r="H245" s="19"/>
    </row>
    <row r="246" spans="1:26" ht="15.75" customHeight="1" x14ac:dyDescent="0.3">
      <c r="A246" s="19"/>
      <c r="B246" s="19"/>
      <c r="C246" s="19"/>
      <c r="D246" s="19"/>
      <c r="E246" s="19"/>
      <c r="F246" s="19"/>
      <c r="G246" s="19"/>
      <c r="H246" s="19"/>
    </row>
    <row r="247" spans="1:26" ht="15.75" customHeight="1" x14ac:dyDescent="0.3">
      <c r="A247" s="19"/>
      <c r="B247" s="19"/>
      <c r="C247" s="19"/>
      <c r="D247" s="19"/>
      <c r="E247" s="19"/>
      <c r="F247" s="19"/>
      <c r="G247" s="19"/>
      <c r="H247" s="19"/>
    </row>
    <row r="248" spans="1:26" ht="15.75" customHeight="1" x14ac:dyDescent="0.3">
      <c r="A248" s="19"/>
      <c r="B248" s="19"/>
      <c r="C248" s="19"/>
      <c r="D248" s="19"/>
      <c r="E248" s="19"/>
      <c r="F248" s="19"/>
      <c r="G248" s="19"/>
      <c r="H248" s="19"/>
    </row>
    <row r="249" spans="1:26" ht="15.75" customHeight="1" x14ac:dyDescent="0.3">
      <c r="A249" s="19"/>
      <c r="B249" s="19"/>
      <c r="C249" s="19"/>
      <c r="D249" s="19"/>
      <c r="E249" s="19"/>
      <c r="F249" s="19"/>
      <c r="G249" s="19"/>
      <c r="H249" s="19"/>
    </row>
    <row r="250" spans="1:26" ht="15.75" customHeight="1" x14ac:dyDescent="0.3">
      <c r="A250" s="19"/>
      <c r="B250" s="19"/>
      <c r="C250" s="19"/>
      <c r="D250" s="19"/>
      <c r="E250" s="19"/>
      <c r="F250" s="19"/>
      <c r="G250" s="19"/>
      <c r="H250" s="19"/>
    </row>
    <row r="251" spans="1:26" ht="15.75" customHeight="1" x14ac:dyDescent="0.3">
      <c r="A251" s="19"/>
      <c r="B251" s="19"/>
      <c r="C251" s="19"/>
      <c r="D251" s="19"/>
      <c r="E251" s="19"/>
      <c r="F251" s="19"/>
      <c r="G251" s="19"/>
      <c r="H251" s="19"/>
    </row>
    <row r="252" spans="1:26" ht="15.75" customHeight="1" x14ac:dyDescent="0.3">
      <c r="A252" s="19"/>
      <c r="B252" s="19"/>
      <c r="C252" s="19"/>
      <c r="D252" s="19"/>
      <c r="E252" s="19"/>
      <c r="F252" s="19"/>
      <c r="G252" s="19"/>
      <c r="H252" s="19"/>
    </row>
    <row r="253" spans="1:26" ht="15.75" customHeight="1" x14ac:dyDescent="0.3">
      <c r="A253" s="19"/>
      <c r="B253" s="19"/>
      <c r="C253" s="19"/>
      <c r="D253" s="19"/>
      <c r="E253" s="19"/>
      <c r="F253" s="19"/>
      <c r="G253" s="19"/>
      <c r="H253" s="19"/>
    </row>
    <row r="254" spans="1:26" ht="15.75" customHeight="1" x14ac:dyDescent="0.3">
      <c r="A254" s="19"/>
      <c r="B254" s="19"/>
      <c r="C254" s="19"/>
      <c r="D254" s="19"/>
      <c r="E254" s="19"/>
      <c r="F254" s="19"/>
      <c r="G254" s="19"/>
      <c r="H254" s="19"/>
    </row>
    <row r="255" spans="1:26" ht="15.75" customHeight="1" x14ac:dyDescent="0.3">
      <c r="A255" s="19"/>
      <c r="B255" s="19"/>
      <c r="C255" s="19"/>
      <c r="D255" s="19"/>
      <c r="E255" s="19"/>
      <c r="F255" s="19"/>
      <c r="G255" s="19"/>
      <c r="H255" s="19"/>
    </row>
    <row r="256" spans="1:26" ht="15.75" customHeight="1" x14ac:dyDescent="0.3">
      <c r="A256" s="19"/>
      <c r="B256" s="19"/>
      <c r="C256" s="19"/>
      <c r="D256" s="19"/>
      <c r="E256" s="19"/>
      <c r="F256" s="19"/>
      <c r="G256" s="19"/>
      <c r="H256" s="19"/>
    </row>
    <row r="257" spans="1:8" ht="15.75" customHeight="1" x14ac:dyDescent="0.3">
      <c r="A257" s="19"/>
      <c r="B257" s="19"/>
      <c r="C257" s="19"/>
      <c r="D257" s="19"/>
      <c r="E257" s="19"/>
      <c r="F257" s="19"/>
      <c r="G257" s="19"/>
      <c r="H257" s="19"/>
    </row>
    <row r="258" spans="1:8" ht="15.75" customHeight="1" x14ac:dyDescent="0.3">
      <c r="A258" s="19"/>
      <c r="B258" s="19"/>
      <c r="C258" s="19"/>
      <c r="D258" s="19"/>
      <c r="E258" s="19"/>
      <c r="F258" s="19"/>
      <c r="G258" s="19"/>
      <c r="H258" s="19"/>
    </row>
    <row r="259" spans="1:8" ht="15.75" customHeight="1" x14ac:dyDescent="0.3">
      <c r="A259" s="19"/>
      <c r="B259" s="19"/>
      <c r="C259" s="19"/>
      <c r="D259" s="19"/>
      <c r="E259" s="19"/>
      <c r="F259" s="19"/>
      <c r="G259" s="19"/>
      <c r="H259" s="19"/>
    </row>
    <row r="260" spans="1:8" ht="15.75" customHeight="1" x14ac:dyDescent="0.3">
      <c r="A260" s="19"/>
      <c r="B260" s="19"/>
      <c r="C260" s="19"/>
      <c r="D260" s="19"/>
      <c r="E260" s="19"/>
      <c r="F260" s="19"/>
      <c r="G260" s="19"/>
      <c r="H260" s="19"/>
    </row>
    <row r="261" spans="1:8" ht="15.75" customHeight="1" x14ac:dyDescent="0.3">
      <c r="A261" s="19"/>
      <c r="B261" s="19"/>
      <c r="C261" s="19"/>
      <c r="D261" s="19"/>
      <c r="E261" s="19"/>
      <c r="F261" s="19"/>
      <c r="G261" s="19"/>
      <c r="H261" s="19"/>
    </row>
    <row r="262" spans="1:8" ht="15.75" customHeight="1" x14ac:dyDescent="0.3">
      <c r="A262" s="19"/>
      <c r="B262" s="19"/>
      <c r="C262" s="19"/>
      <c r="D262" s="19"/>
      <c r="E262" s="19"/>
      <c r="F262" s="19"/>
      <c r="G262" s="19"/>
      <c r="H262" s="19"/>
    </row>
    <row r="263" spans="1:8" ht="15.75" customHeight="1" x14ac:dyDescent="0.3">
      <c r="A263" s="19"/>
      <c r="B263" s="19"/>
      <c r="C263" s="19"/>
      <c r="D263" s="19"/>
      <c r="E263" s="19"/>
      <c r="F263" s="19"/>
      <c r="G263" s="19"/>
      <c r="H263" s="19"/>
    </row>
    <row r="264" spans="1:8" ht="15.75" customHeight="1" x14ac:dyDescent="0.3">
      <c r="A264" s="19"/>
      <c r="B264" s="19"/>
      <c r="C264" s="19"/>
      <c r="D264" s="19"/>
      <c r="E264" s="19"/>
      <c r="F264" s="19"/>
      <c r="G264" s="19"/>
      <c r="H264" s="19"/>
    </row>
    <row r="265" spans="1:8" ht="15.75" customHeight="1" x14ac:dyDescent="0.3">
      <c r="A265" s="19"/>
      <c r="B265" s="19"/>
      <c r="C265" s="19"/>
      <c r="D265" s="19"/>
      <c r="E265" s="19"/>
      <c r="F265" s="19"/>
      <c r="G265" s="19"/>
      <c r="H265" s="19"/>
    </row>
    <row r="266" spans="1:8" ht="15.75" customHeight="1" x14ac:dyDescent="0.3">
      <c r="A266" s="19"/>
      <c r="B266" s="19"/>
      <c r="C266" s="19"/>
      <c r="D266" s="19"/>
      <c r="E266" s="19"/>
      <c r="F266" s="19"/>
      <c r="G266" s="19"/>
      <c r="H266" s="19"/>
    </row>
    <row r="267" spans="1:8" ht="15.75" customHeight="1" x14ac:dyDescent="0.3">
      <c r="A267" s="19"/>
      <c r="B267" s="19"/>
      <c r="C267" s="19"/>
      <c r="D267" s="19"/>
      <c r="E267" s="19"/>
      <c r="F267" s="19"/>
      <c r="G267" s="19"/>
      <c r="H267" s="19"/>
    </row>
    <row r="268" spans="1:8" ht="15.75" customHeight="1" x14ac:dyDescent="0.3">
      <c r="A268" s="19"/>
      <c r="B268" s="19"/>
      <c r="C268" s="19"/>
      <c r="D268" s="19"/>
      <c r="E268" s="19"/>
      <c r="F268" s="19"/>
      <c r="G268" s="19"/>
      <c r="H268" s="19"/>
    </row>
    <row r="269" spans="1:8" ht="15.75" customHeight="1" x14ac:dyDescent="0.3">
      <c r="A269" s="19"/>
      <c r="B269" s="19"/>
      <c r="C269" s="19"/>
      <c r="D269" s="19"/>
      <c r="E269" s="19"/>
      <c r="F269" s="19"/>
      <c r="G269" s="19"/>
      <c r="H269" s="19"/>
    </row>
    <row r="270" spans="1:8" ht="15.75" customHeight="1" x14ac:dyDescent="0.3">
      <c r="A270" s="19"/>
      <c r="B270" s="19"/>
      <c r="C270" s="19"/>
      <c r="D270" s="19"/>
      <c r="E270" s="19"/>
      <c r="F270" s="19"/>
      <c r="G270" s="19"/>
      <c r="H270" s="19"/>
    </row>
    <row r="271" spans="1:8" ht="15.75" customHeight="1" x14ac:dyDescent="0.3">
      <c r="A271" s="19"/>
      <c r="B271" s="19"/>
      <c r="C271" s="19"/>
      <c r="D271" s="19"/>
      <c r="E271" s="19"/>
      <c r="F271" s="19"/>
      <c r="G271" s="19"/>
      <c r="H271" s="19"/>
    </row>
    <row r="272" spans="1:8" ht="15.75" customHeight="1" x14ac:dyDescent="0.3">
      <c r="A272" s="19"/>
      <c r="B272" s="19"/>
      <c r="C272" s="19"/>
      <c r="D272" s="19"/>
      <c r="E272" s="19"/>
      <c r="F272" s="19"/>
      <c r="G272" s="19"/>
      <c r="H272" s="19"/>
    </row>
    <row r="273" spans="1:8" ht="15.75" customHeight="1" x14ac:dyDescent="0.3">
      <c r="A273" s="19"/>
      <c r="B273" s="19"/>
      <c r="C273" s="19"/>
      <c r="D273" s="19"/>
      <c r="E273" s="19"/>
      <c r="F273" s="19"/>
      <c r="G273" s="19"/>
      <c r="H273" s="19"/>
    </row>
    <row r="274" spans="1:8" ht="15.75" customHeight="1" x14ac:dyDescent="0.3">
      <c r="A274" s="19"/>
      <c r="B274" s="19"/>
      <c r="C274" s="19"/>
      <c r="D274" s="19"/>
      <c r="E274" s="19"/>
      <c r="F274" s="19"/>
      <c r="G274" s="19"/>
      <c r="H274" s="19"/>
    </row>
    <row r="275" spans="1:8" ht="15.75" customHeight="1" x14ac:dyDescent="0.3">
      <c r="A275" s="19"/>
      <c r="B275" s="19"/>
      <c r="C275" s="19"/>
      <c r="D275" s="19"/>
      <c r="E275" s="19"/>
      <c r="F275" s="19"/>
      <c r="G275" s="19"/>
      <c r="H275" s="19"/>
    </row>
    <row r="276" spans="1:8" ht="15.75" customHeight="1" x14ac:dyDescent="0.3">
      <c r="A276" s="19"/>
      <c r="B276" s="19"/>
      <c r="C276" s="19"/>
      <c r="D276" s="19"/>
      <c r="E276" s="19"/>
      <c r="F276" s="19"/>
      <c r="G276" s="19"/>
      <c r="H276" s="19"/>
    </row>
    <row r="277" spans="1:8" ht="15.75" customHeight="1" x14ac:dyDescent="0.3">
      <c r="A277" s="19"/>
      <c r="B277" s="19"/>
      <c r="C277" s="19"/>
      <c r="D277" s="19"/>
      <c r="E277" s="19"/>
      <c r="F277" s="19"/>
      <c r="G277" s="19"/>
      <c r="H277" s="19"/>
    </row>
    <row r="278" spans="1:8" ht="15.75" customHeight="1" x14ac:dyDescent="0.3">
      <c r="A278" s="19"/>
      <c r="B278" s="19"/>
      <c r="C278" s="19"/>
      <c r="D278" s="19"/>
      <c r="E278" s="19"/>
      <c r="F278" s="19"/>
      <c r="G278" s="19"/>
      <c r="H278" s="19"/>
    </row>
    <row r="279" spans="1:8" ht="15.75" customHeight="1" x14ac:dyDescent="0.3">
      <c r="A279" s="19"/>
      <c r="B279" s="19"/>
      <c r="C279" s="19"/>
      <c r="D279" s="19"/>
      <c r="E279" s="19"/>
      <c r="F279" s="19"/>
      <c r="G279" s="19"/>
      <c r="H279" s="19"/>
    </row>
    <row r="280" spans="1:8" ht="15.75" customHeight="1" x14ac:dyDescent="0.3">
      <c r="A280" s="19"/>
      <c r="B280" s="19"/>
      <c r="C280" s="19"/>
      <c r="D280" s="19"/>
      <c r="E280" s="19"/>
      <c r="F280" s="19"/>
      <c r="G280" s="19"/>
      <c r="H280" s="19"/>
    </row>
    <row r="281" spans="1:8" ht="15.75" customHeight="1" x14ac:dyDescent="0.3">
      <c r="A281" s="19"/>
      <c r="B281" s="19"/>
      <c r="C281" s="19"/>
      <c r="D281" s="19"/>
      <c r="E281" s="19"/>
      <c r="F281" s="19"/>
      <c r="G281" s="19"/>
      <c r="H281" s="19"/>
    </row>
    <row r="282" spans="1:8" ht="15.75" customHeight="1" x14ac:dyDescent="0.3">
      <c r="A282" s="19"/>
      <c r="B282" s="19"/>
      <c r="C282" s="19"/>
      <c r="D282" s="19"/>
      <c r="E282" s="19"/>
      <c r="F282" s="19"/>
      <c r="G282" s="19"/>
      <c r="H282" s="19"/>
    </row>
    <row r="283" spans="1:8" ht="15.75" customHeight="1" x14ac:dyDescent="0.3">
      <c r="A283" s="19"/>
      <c r="B283" s="19"/>
      <c r="C283" s="19"/>
      <c r="D283" s="19"/>
      <c r="E283" s="19"/>
      <c r="F283" s="19"/>
      <c r="G283" s="19"/>
      <c r="H283" s="19"/>
    </row>
    <row r="284" spans="1:8" ht="15.75" customHeight="1" x14ac:dyDescent="0.3">
      <c r="A284" s="19"/>
      <c r="B284" s="19"/>
      <c r="C284" s="19"/>
      <c r="D284" s="19"/>
      <c r="E284" s="19"/>
      <c r="F284" s="19"/>
      <c r="G284" s="19"/>
      <c r="H284" s="19"/>
    </row>
    <row r="285" spans="1:8" ht="15.75" customHeight="1" x14ac:dyDescent="0.3">
      <c r="A285" s="19"/>
      <c r="B285" s="19"/>
      <c r="C285" s="19"/>
      <c r="D285" s="19"/>
      <c r="E285" s="19"/>
      <c r="F285" s="19"/>
      <c r="G285" s="19"/>
      <c r="H285" s="19"/>
    </row>
    <row r="286" spans="1:8" ht="15.75" customHeight="1" x14ac:dyDescent="0.3">
      <c r="A286" s="19"/>
      <c r="B286" s="19"/>
      <c r="C286" s="19"/>
      <c r="D286" s="19"/>
      <c r="E286" s="19"/>
      <c r="F286" s="19"/>
      <c r="G286" s="19"/>
      <c r="H286" s="19"/>
    </row>
    <row r="287" spans="1:8" ht="15.75" customHeight="1" x14ac:dyDescent="0.3">
      <c r="A287" s="19"/>
      <c r="B287" s="19"/>
      <c r="C287" s="19"/>
      <c r="D287" s="19"/>
      <c r="E287" s="19"/>
      <c r="F287" s="19"/>
      <c r="G287" s="19"/>
      <c r="H287" s="19"/>
    </row>
    <row r="288" spans="1:8" ht="15.75" customHeight="1" x14ac:dyDescent="0.3">
      <c r="A288" s="19"/>
      <c r="B288" s="19"/>
      <c r="C288" s="19"/>
      <c r="D288" s="19"/>
      <c r="E288" s="19"/>
      <c r="F288" s="19"/>
      <c r="G288" s="19"/>
      <c r="H288" s="19"/>
    </row>
    <row r="289" spans="1:8" ht="15.75" customHeight="1" x14ac:dyDescent="0.3">
      <c r="A289" s="19"/>
      <c r="B289" s="19"/>
      <c r="C289" s="19"/>
      <c r="D289" s="19"/>
      <c r="E289" s="19"/>
      <c r="F289" s="19"/>
      <c r="G289" s="19"/>
      <c r="H289" s="19"/>
    </row>
    <row r="290" spans="1:8" ht="15.75" customHeight="1" x14ac:dyDescent="0.3">
      <c r="A290" s="19"/>
      <c r="B290" s="19"/>
      <c r="C290" s="19"/>
      <c r="D290" s="19"/>
      <c r="E290" s="19"/>
      <c r="F290" s="19"/>
      <c r="G290" s="19"/>
      <c r="H290" s="19"/>
    </row>
    <row r="291" spans="1:8" ht="15.75" customHeight="1" x14ac:dyDescent="0.3">
      <c r="A291" s="19"/>
      <c r="B291" s="19"/>
      <c r="C291" s="19"/>
      <c r="D291" s="19"/>
      <c r="E291" s="19"/>
      <c r="F291" s="19"/>
      <c r="G291" s="19"/>
      <c r="H291" s="19"/>
    </row>
    <row r="292" spans="1:8" ht="15.75" customHeight="1" x14ac:dyDescent="0.3">
      <c r="A292" s="19"/>
      <c r="B292" s="19"/>
      <c r="C292" s="19"/>
      <c r="D292" s="19"/>
      <c r="E292" s="19"/>
      <c r="F292" s="19"/>
      <c r="G292" s="19"/>
      <c r="H292" s="19"/>
    </row>
    <row r="293" spans="1:8" ht="15.75" customHeight="1" x14ac:dyDescent="0.3">
      <c r="A293" s="19"/>
      <c r="B293" s="19"/>
      <c r="C293" s="19"/>
      <c r="D293" s="19"/>
      <c r="E293" s="19"/>
      <c r="F293" s="19"/>
      <c r="G293" s="19"/>
      <c r="H293" s="19"/>
    </row>
    <row r="294" spans="1:8" ht="15.75" customHeight="1" x14ac:dyDescent="0.3">
      <c r="A294" s="19"/>
      <c r="B294" s="19"/>
      <c r="C294" s="19"/>
      <c r="D294" s="19"/>
      <c r="E294" s="19"/>
      <c r="F294" s="19"/>
      <c r="G294" s="19"/>
      <c r="H294" s="19"/>
    </row>
    <row r="295" spans="1:8" ht="15.75" customHeight="1" x14ac:dyDescent="0.3">
      <c r="A295" s="19"/>
      <c r="B295" s="19"/>
      <c r="C295" s="19"/>
      <c r="D295" s="19"/>
      <c r="E295" s="19"/>
      <c r="F295" s="19"/>
      <c r="G295" s="19"/>
      <c r="H295" s="19"/>
    </row>
    <row r="296" spans="1:8" ht="15.75" customHeight="1" x14ac:dyDescent="0.3">
      <c r="A296" s="19"/>
      <c r="B296" s="19"/>
      <c r="C296" s="19"/>
      <c r="D296" s="19"/>
      <c r="E296" s="19"/>
      <c r="F296" s="19"/>
      <c r="G296" s="19"/>
      <c r="H296" s="19"/>
    </row>
    <row r="297" spans="1:8" ht="15.75" customHeight="1" x14ac:dyDescent="0.3">
      <c r="A297" s="19"/>
      <c r="B297" s="19"/>
      <c r="C297" s="19"/>
      <c r="D297" s="19"/>
      <c r="E297" s="19"/>
      <c r="F297" s="19"/>
      <c r="G297" s="19"/>
      <c r="H297" s="19"/>
    </row>
    <row r="298" spans="1:8" ht="15.75" customHeight="1" x14ac:dyDescent="0.3">
      <c r="A298" s="19"/>
      <c r="B298" s="19"/>
      <c r="C298" s="19"/>
      <c r="D298" s="19"/>
      <c r="E298" s="19"/>
      <c r="F298" s="19"/>
      <c r="G298" s="19"/>
      <c r="H298" s="19"/>
    </row>
    <row r="299" spans="1:8" ht="15.75" customHeight="1" x14ac:dyDescent="0.3">
      <c r="A299" s="19"/>
      <c r="B299" s="19"/>
      <c r="C299" s="19"/>
      <c r="D299" s="19"/>
      <c r="E299" s="19"/>
      <c r="F299" s="19"/>
      <c r="G299" s="19"/>
      <c r="H299" s="19"/>
    </row>
    <row r="300" spans="1:8" ht="15.75" customHeight="1" x14ac:dyDescent="0.3">
      <c r="A300" s="19"/>
      <c r="B300" s="19"/>
      <c r="C300" s="19"/>
      <c r="D300" s="19"/>
      <c r="E300" s="19"/>
      <c r="F300" s="19"/>
      <c r="G300" s="19"/>
      <c r="H300" s="19"/>
    </row>
    <row r="301" spans="1:8" ht="15.75" customHeight="1" x14ac:dyDescent="0.3">
      <c r="A301" s="19"/>
      <c r="B301" s="19"/>
      <c r="C301" s="19"/>
      <c r="D301" s="19"/>
      <c r="E301" s="19"/>
      <c r="F301" s="19"/>
      <c r="G301" s="19"/>
      <c r="H301" s="19"/>
    </row>
    <row r="302" spans="1:8" ht="15.75" customHeight="1" x14ac:dyDescent="0.3">
      <c r="A302" s="19"/>
      <c r="B302" s="19"/>
      <c r="C302" s="19"/>
      <c r="D302" s="19"/>
      <c r="E302" s="19"/>
      <c r="F302" s="19"/>
      <c r="G302" s="19"/>
      <c r="H302" s="19"/>
    </row>
    <row r="303" spans="1:8" ht="15.75" customHeight="1" x14ac:dyDescent="0.3">
      <c r="A303" s="19"/>
      <c r="B303" s="19"/>
      <c r="C303" s="19"/>
      <c r="D303" s="19"/>
      <c r="E303" s="19"/>
      <c r="F303" s="19"/>
      <c r="G303" s="19"/>
      <c r="H303" s="19"/>
    </row>
    <row r="304" spans="1:8" ht="15.75" customHeight="1" x14ac:dyDescent="0.3">
      <c r="A304" s="19"/>
      <c r="B304" s="19"/>
      <c r="C304" s="19"/>
      <c r="D304" s="19"/>
      <c r="E304" s="19"/>
      <c r="F304" s="19"/>
      <c r="G304" s="19"/>
      <c r="H304" s="19"/>
    </row>
    <row r="305" spans="1:8" ht="15.75" customHeight="1" x14ac:dyDescent="0.3">
      <c r="A305" s="19"/>
      <c r="B305" s="19"/>
      <c r="C305" s="19"/>
      <c r="D305" s="19"/>
      <c r="E305" s="19"/>
      <c r="F305" s="19"/>
      <c r="G305" s="19"/>
      <c r="H305" s="19"/>
    </row>
    <row r="306" spans="1:8" ht="15.75" customHeight="1" x14ac:dyDescent="0.3">
      <c r="A306" s="19"/>
      <c r="B306" s="19"/>
      <c r="C306" s="19"/>
      <c r="D306" s="19"/>
      <c r="E306" s="19"/>
      <c r="F306" s="19"/>
      <c r="G306" s="19"/>
      <c r="H306" s="19"/>
    </row>
    <row r="307" spans="1:8" ht="15.75" customHeight="1" x14ac:dyDescent="0.3">
      <c r="A307" s="19"/>
      <c r="B307" s="19"/>
      <c r="C307" s="19"/>
      <c r="D307" s="19"/>
      <c r="E307" s="19"/>
      <c r="F307" s="19"/>
      <c r="G307" s="19"/>
      <c r="H307" s="19"/>
    </row>
    <row r="308" spans="1:8" ht="15.75" customHeight="1" x14ac:dyDescent="0.3">
      <c r="A308" s="19"/>
      <c r="B308" s="19"/>
      <c r="C308" s="19"/>
      <c r="D308" s="19"/>
      <c r="E308" s="19"/>
      <c r="F308" s="19"/>
      <c r="G308" s="19"/>
      <c r="H308" s="19"/>
    </row>
    <row r="309" spans="1:8" ht="15.75" customHeight="1" x14ac:dyDescent="0.3">
      <c r="A309" s="19"/>
      <c r="B309" s="19"/>
      <c r="C309" s="19"/>
      <c r="D309" s="19"/>
      <c r="E309" s="19"/>
      <c r="F309" s="19"/>
      <c r="G309" s="19"/>
      <c r="H309" s="19"/>
    </row>
    <row r="310" spans="1:8" ht="15.75" customHeight="1" x14ac:dyDescent="0.3">
      <c r="A310" s="19"/>
      <c r="B310" s="19"/>
      <c r="C310" s="19"/>
      <c r="D310" s="19"/>
      <c r="E310" s="19"/>
      <c r="F310" s="19"/>
      <c r="G310" s="19"/>
      <c r="H310" s="19"/>
    </row>
    <row r="311" spans="1:8" ht="15.75" customHeight="1" x14ac:dyDescent="0.3">
      <c r="A311" s="19"/>
      <c r="B311" s="19"/>
      <c r="C311" s="19"/>
      <c r="D311" s="19"/>
      <c r="E311" s="19"/>
      <c r="F311" s="19"/>
      <c r="G311" s="19"/>
      <c r="H311" s="19"/>
    </row>
    <row r="312" spans="1:8" ht="15.75" customHeight="1" x14ac:dyDescent="0.3">
      <c r="A312" s="19"/>
      <c r="B312" s="19"/>
      <c r="C312" s="19"/>
      <c r="D312" s="19"/>
      <c r="E312" s="19"/>
      <c r="F312" s="19"/>
      <c r="G312" s="19"/>
      <c r="H312" s="19"/>
    </row>
    <row r="313" spans="1:8" ht="15.75" customHeight="1" x14ac:dyDescent="0.3">
      <c r="A313" s="19"/>
      <c r="B313" s="19"/>
      <c r="C313" s="19"/>
      <c r="D313" s="19"/>
      <c r="E313" s="19"/>
      <c r="F313" s="19"/>
      <c r="G313" s="19"/>
      <c r="H313" s="19"/>
    </row>
    <row r="314" spans="1:8" ht="15.75" customHeight="1" x14ac:dyDescent="0.3">
      <c r="A314" s="19"/>
      <c r="B314" s="19"/>
      <c r="C314" s="19"/>
      <c r="D314" s="19"/>
      <c r="E314" s="19"/>
      <c r="F314" s="19"/>
      <c r="G314" s="19"/>
      <c r="H314" s="19"/>
    </row>
    <row r="315" spans="1:8" ht="15.75" customHeight="1" x14ac:dyDescent="0.3">
      <c r="A315" s="19"/>
      <c r="B315" s="19"/>
      <c r="C315" s="19"/>
      <c r="D315" s="19"/>
      <c r="E315" s="19"/>
      <c r="F315" s="19"/>
      <c r="G315" s="19"/>
      <c r="H315" s="19"/>
    </row>
    <row r="316" spans="1:8" ht="15.75" customHeight="1" x14ac:dyDescent="0.3">
      <c r="A316" s="19"/>
      <c r="B316" s="19"/>
      <c r="C316" s="19"/>
      <c r="D316" s="19"/>
      <c r="E316" s="19"/>
      <c r="F316" s="19"/>
      <c r="G316" s="19"/>
      <c r="H316" s="19"/>
    </row>
    <row r="317" spans="1:8" ht="15.75" customHeight="1" x14ac:dyDescent="0.3">
      <c r="A317" s="19"/>
      <c r="B317" s="19"/>
      <c r="C317" s="19"/>
      <c r="D317" s="19"/>
      <c r="E317" s="19"/>
      <c r="F317" s="19"/>
      <c r="G317" s="19"/>
      <c r="H317" s="19"/>
    </row>
    <row r="318" spans="1:8" ht="15.75" customHeight="1" x14ac:dyDescent="0.3">
      <c r="A318" s="19"/>
      <c r="B318" s="19"/>
      <c r="C318" s="19"/>
      <c r="D318" s="19"/>
      <c r="E318" s="19"/>
      <c r="F318" s="19"/>
      <c r="G318" s="19"/>
      <c r="H318" s="19"/>
    </row>
    <row r="319" spans="1:8" ht="15.75" customHeight="1" x14ac:dyDescent="0.3">
      <c r="A319" s="19"/>
      <c r="B319" s="19"/>
      <c r="C319" s="19"/>
      <c r="D319" s="19"/>
      <c r="E319" s="19"/>
      <c r="F319" s="19"/>
      <c r="G319" s="19"/>
      <c r="H319" s="19"/>
    </row>
    <row r="320" spans="1:8" ht="15.75" customHeight="1" x14ac:dyDescent="0.3">
      <c r="A320" s="19"/>
      <c r="B320" s="19"/>
      <c r="C320" s="19"/>
      <c r="D320" s="19"/>
      <c r="E320" s="19"/>
      <c r="F320" s="19"/>
      <c r="G320" s="19"/>
      <c r="H320" s="19"/>
    </row>
    <row r="321" spans="1:8" ht="15.75" customHeight="1" x14ac:dyDescent="0.3">
      <c r="A321" s="19"/>
      <c r="B321" s="19"/>
      <c r="C321" s="19"/>
      <c r="D321" s="19"/>
      <c r="E321" s="19"/>
      <c r="F321" s="19"/>
      <c r="G321" s="19"/>
      <c r="H321" s="19"/>
    </row>
    <row r="322" spans="1:8" ht="15.75" customHeight="1" x14ac:dyDescent="0.3">
      <c r="A322" s="19"/>
      <c r="B322" s="19"/>
      <c r="C322" s="19"/>
      <c r="D322" s="19"/>
      <c r="E322" s="19"/>
      <c r="F322" s="19"/>
      <c r="G322" s="19"/>
      <c r="H322" s="19"/>
    </row>
    <row r="323" spans="1:8" ht="15.75" customHeight="1" x14ac:dyDescent="0.3">
      <c r="A323" s="19"/>
      <c r="B323" s="19"/>
      <c r="C323" s="19"/>
      <c r="D323" s="19"/>
      <c r="E323" s="19"/>
      <c r="F323" s="19"/>
      <c r="G323" s="19"/>
      <c r="H323" s="19"/>
    </row>
    <row r="324" spans="1:8" ht="15.75" customHeight="1" x14ac:dyDescent="0.3">
      <c r="A324" s="19"/>
      <c r="B324" s="19"/>
      <c r="C324" s="19"/>
      <c r="D324" s="19"/>
      <c r="E324" s="19"/>
      <c r="F324" s="19"/>
      <c r="G324" s="19"/>
      <c r="H324" s="19"/>
    </row>
    <row r="325" spans="1:8" ht="15.75" customHeight="1" x14ac:dyDescent="0.3">
      <c r="A325" s="19"/>
      <c r="B325" s="19"/>
      <c r="C325" s="19"/>
      <c r="D325" s="19"/>
      <c r="E325" s="19"/>
      <c r="F325" s="19"/>
      <c r="G325" s="19"/>
      <c r="H325" s="19"/>
    </row>
    <row r="326" spans="1:8" ht="15.75" customHeight="1" x14ac:dyDescent="0.3">
      <c r="A326" s="19"/>
      <c r="B326" s="19"/>
      <c r="C326" s="19"/>
      <c r="D326" s="19"/>
      <c r="E326" s="19"/>
      <c r="F326" s="19"/>
      <c r="G326" s="19"/>
      <c r="H326" s="19"/>
    </row>
    <row r="327" spans="1:8" ht="15.75" customHeight="1" x14ac:dyDescent="0.3">
      <c r="A327" s="19"/>
      <c r="B327" s="19"/>
      <c r="C327" s="19"/>
      <c r="D327" s="19"/>
      <c r="E327" s="19"/>
      <c r="F327" s="19"/>
      <c r="G327" s="19"/>
      <c r="H327" s="19"/>
    </row>
    <row r="328" spans="1:8" ht="15.75" customHeight="1" x14ac:dyDescent="0.3">
      <c r="A328" s="19"/>
      <c r="B328" s="19"/>
      <c r="C328" s="19"/>
      <c r="D328" s="19"/>
      <c r="E328" s="19"/>
      <c r="F328" s="19"/>
      <c r="G328" s="19"/>
      <c r="H328" s="19"/>
    </row>
    <row r="329" spans="1:8" ht="15.75" customHeight="1" x14ac:dyDescent="0.3">
      <c r="A329" s="19"/>
      <c r="B329" s="19"/>
      <c r="C329" s="19"/>
      <c r="D329" s="19"/>
      <c r="E329" s="19"/>
      <c r="F329" s="19"/>
      <c r="G329" s="19"/>
      <c r="H329" s="19"/>
    </row>
    <row r="330" spans="1:8" ht="15.75" customHeight="1" x14ac:dyDescent="0.3">
      <c r="A330" s="19"/>
      <c r="B330" s="19"/>
      <c r="C330" s="19"/>
      <c r="D330" s="19"/>
      <c r="E330" s="19"/>
      <c r="F330" s="19"/>
      <c r="G330" s="19"/>
      <c r="H330" s="19"/>
    </row>
    <row r="331" spans="1:8" ht="15.75" customHeight="1" x14ac:dyDescent="0.3">
      <c r="A331" s="19"/>
      <c r="B331" s="19"/>
      <c r="C331" s="19"/>
      <c r="D331" s="19"/>
      <c r="E331" s="19"/>
      <c r="F331" s="19"/>
      <c r="G331" s="19"/>
      <c r="H331" s="19"/>
    </row>
    <row r="332" spans="1:8" ht="15.75" customHeight="1" x14ac:dyDescent="0.3">
      <c r="A332" s="19"/>
      <c r="B332" s="19"/>
      <c r="C332" s="19"/>
      <c r="D332" s="19"/>
      <c r="E332" s="19"/>
      <c r="F332" s="19"/>
      <c r="G332" s="19"/>
      <c r="H332" s="19"/>
    </row>
    <row r="333" spans="1:8" ht="15.75" customHeight="1" x14ac:dyDescent="0.3">
      <c r="A333" s="19"/>
      <c r="B333" s="19"/>
      <c r="C333" s="19"/>
      <c r="D333" s="19"/>
      <c r="E333" s="19"/>
      <c r="F333" s="19"/>
      <c r="G333" s="19"/>
      <c r="H333" s="19"/>
    </row>
    <row r="334" spans="1:8" ht="15.75" customHeight="1" x14ac:dyDescent="0.3">
      <c r="A334" s="19"/>
      <c r="B334" s="19"/>
      <c r="C334" s="19"/>
      <c r="D334" s="19"/>
      <c r="E334" s="19"/>
      <c r="F334" s="19"/>
      <c r="G334" s="19"/>
      <c r="H334" s="19"/>
    </row>
    <row r="335" spans="1:8" ht="15.75" customHeight="1" x14ac:dyDescent="0.3">
      <c r="A335" s="19"/>
      <c r="B335" s="19"/>
      <c r="C335" s="19"/>
      <c r="D335" s="19"/>
      <c r="E335" s="19"/>
      <c r="F335" s="19"/>
      <c r="G335" s="19"/>
      <c r="H335" s="19"/>
    </row>
    <row r="336" spans="1:8" ht="15.75" customHeight="1" x14ac:dyDescent="0.3">
      <c r="A336" s="19"/>
      <c r="B336" s="19"/>
      <c r="C336" s="19"/>
      <c r="D336" s="19"/>
      <c r="E336" s="19"/>
      <c r="F336" s="19"/>
      <c r="G336" s="19"/>
      <c r="H336" s="19"/>
    </row>
    <row r="337" spans="1:8" ht="15.75" customHeight="1" x14ac:dyDescent="0.3">
      <c r="A337" s="19"/>
      <c r="B337" s="19"/>
      <c r="C337" s="19"/>
      <c r="D337" s="19"/>
      <c r="E337" s="19"/>
      <c r="F337" s="19"/>
      <c r="G337" s="19"/>
      <c r="H337" s="19"/>
    </row>
    <row r="338" spans="1:8" ht="15.75" customHeight="1" x14ac:dyDescent="0.3">
      <c r="A338" s="19"/>
      <c r="B338" s="19"/>
      <c r="C338" s="19"/>
      <c r="D338" s="19"/>
      <c r="E338" s="19"/>
      <c r="F338" s="19"/>
      <c r="G338" s="19"/>
      <c r="H338" s="19"/>
    </row>
    <row r="339" spans="1:8" ht="15.75" customHeight="1" x14ac:dyDescent="0.3">
      <c r="A339" s="19"/>
      <c r="B339" s="19"/>
      <c r="C339" s="19"/>
      <c r="D339" s="19"/>
      <c r="E339" s="19"/>
      <c r="F339" s="19"/>
      <c r="G339" s="19"/>
      <c r="H339" s="19"/>
    </row>
    <row r="340" spans="1:8" ht="15.75" customHeight="1" x14ac:dyDescent="0.3">
      <c r="A340" s="19"/>
      <c r="B340" s="19"/>
      <c r="C340" s="19"/>
      <c r="D340" s="19"/>
      <c r="E340" s="19"/>
      <c r="F340" s="19"/>
      <c r="G340" s="19"/>
      <c r="H340" s="19"/>
    </row>
    <row r="341" spans="1:8" ht="15.75" customHeight="1" x14ac:dyDescent="0.3">
      <c r="A341" s="19"/>
      <c r="B341" s="19"/>
      <c r="C341" s="19"/>
      <c r="D341" s="19"/>
      <c r="E341" s="19"/>
      <c r="F341" s="19"/>
      <c r="G341" s="19"/>
      <c r="H341" s="19"/>
    </row>
    <row r="342" spans="1:8" ht="15.75" customHeight="1" x14ac:dyDescent="0.3">
      <c r="A342" s="19"/>
      <c r="B342" s="19"/>
      <c r="C342" s="19"/>
      <c r="D342" s="19"/>
      <c r="E342" s="19"/>
      <c r="F342" s="19"/>
      <c r="G342" s="19"/>
      <c r="H342" s="19"/>
    </row>
    <row r="343" spans="1:8" ht="15.75" customHeight="1" x14ac:dyDescent="0.3">
      <c r="A343" s="19"/>
      <c r="B343" s="19"/>
      <c r="C343" s="19"/>
      <c r="D343" s="19"/>
      <c r="E343" s="19"/>
      <c r="F343" s="19"/>
      <c r="G343" s="19"/>
      <c r="H343" s="19"/>
    </row>
    <row r="344" spans="1:8" ht="15.75" customHeight="1" x14ac:dyDescent="0.3">
      <c r="A344" s="19"/>
      <c r="B344" s="19"/>
      <c r="C344" s="19"/>
      <c r="D344" s="19"/>
      <c r="E344" s="19"/>
      <c r="F344" s="19"/>
      <c r="G344" s="19"/>
      <c r="H344" s="19"/>
    </row>
    <row r="345" spans="1:8" ht="15.75" customHeight="1" x14ac:dyDescent="0.3">
      <c r="A345" s="19"/>
      <c r="B345" s="19"/>
      <c r="C345" s="19"/>
      <c r="D345" s="19"/>
      <c r="E345" s="19"/>
      <c r="F345" s="19"/>
      <c r="G345" s="19"/>
      <c r="H345" s="19"/>
    </row>
    <row r="346" spans="1:8" ht="15.75" customHeight="1" x14ac:dyDescent="0.3">
      <c r="A346" s="19"/>
      <c r="B346" s="19"/>
      <c r="C346" s="19"/>
      <c r="D346" s="19"/>
      <c r="E346" s="19"/>
      <c r="F346" s="19"/>
      <c r="G346" s="19"/>
      <c r="H346" s="19"/>
    </row>
    <row r="347" spans="1:8" ht="15.75" customHeight="1" x14ac:dyDescent="0.3">
      <c r="A347" s="19"/>
      <c r="B347" s="19"/>
      <c r="C347" s="19"/>
      <c r="D347" s="19"/>
      <c r="E347" s="19"/>
      <c r="F347" s="19"/>
      <c r="G347" s="19"/>
      <c r="H347" s="19"/>
    </row>
    <row r="348" spans="1:8" ht="15.75" customHeight="1" x14ac:dyDescent="0.3">
      <c r="A348" s="19"/>
      <c r="B348" s="19"/>
      <c r="C348" s="19"/>
      <c r="D348" s="19"/>
      <c r="E348" s="19"/>
      <c r="F348" s="19"/>
      <c r="G348" s="19"/>
      <c r="H348" s="19"/>
    </row>
    <row r="349" spans="1:8" ht="15.75" customHeight="1" x14ac:dyDescent="0.3">
      <c r="A349" s="19"/>
      <c r="B349" s="19"/>
      <c r="C349" s="19"/>
      <c r="D349" s="19"/>
      <c r="E349" s="19"/>
      <c r="F349" s="19"/>
      <c r="G349" s="19"/>
      <c r="H349" s="19"/>
    </row>
    <row r="350" spans="1:8" ht="15.75" customHeight="1" x14ac:dyDescent="0.3">
      <c r="A350" s="19"/>
      <c r="B350" s="19"/>
      <c r="C350" s="19"/>
      <c r="D350" s="19"/>
      <c r="E350" s="19"/>
      <c r="F350" s="19"/>
      <c r="G350" s="19"/>
      <c r="H350" s="19"/>
    </row>
    <row r="351" spans="1:8" ht="15.75" customHeight="1" x14ac:dyDescent="0.3">
      <c r="A351" s="19"/>
      <c r="B351" s="19"/>
      <c r="C351" s="19"/>
      <c r="D351" s="19"/>
      <c r="E351" s="19"/>
      <c r="F351" s="19"/>
      <c r="G351" s="19"/>
      <c r="H351" s="19"/>
    </row>
    <row r="352" spans="1:8" ht="15.75" customHeight="1" x14ac:dyDescent="0.3">
      <c r="A352" s="19"/>
      <c r="B352" s="19"/>
      <c r="C352" s="19"/>
      <c r="D352" s="19"/>
      <c r="E352" s="19"/>
      <c r="F352" s="19"/>
      <c r="G352" s="19"/>
      <c r="H352" s="19"/>
    </row>
    <row r="353" spans="1:8" ht="15.75" customHeight="1" x14ac:dyDescent="0.3">
      <c r="A353" s="19"/>
      <c r="B353" s="19"/>
      <c r="C353" s="19"/>
      <c r="D353" s="19"/>
      <c r="E353" s="19"/>
      <c r="F353" s="19"/>
      <c r="G353" s="19"/>
      <c r="H353" s="19"/>
    </row>
    <row r="354" spans="1:8" ht="15.75" customHeight="1" x14ac:dyDescent="0.3">
      <c r="A354" s="19"/>
      <c r="B354" s="19"/>
      <c r="C354" s="19"/>
      <c r="D354" s="19"/>
      <c r="E354" s="19"/>
      <c r="F354" s="19"/>
      <c r="G354" s="19"/>
      <c r="H354" s="19"/>
    </row>
    <row r="355" spans="1:8" ht="15.75" customHeight="1" x14ac:dyDescent="0.3">
      <c r="A355" s="19"/>
      <c r="B355" s="19"/>
      <c r="C355" s="19"/>
      <c r="D355" s="19"/>
      <c r="E355" s="19"/>
      <c r="F355" s="19"/>
      <c r="G355" s="19"/>
      <c r="H355" s="19"/>
    </row>
    <row r="356" spans="1:8" ht="15.75" customHeight="1" x14ac:dyDescent="0.3">
      <c r="A356" s="19"/>
      <c r="B356" s="19"/>
      <c r="C356" s="19"/>
      <c r="D356" s="19"/>
      <c r="E356" s="19"/>
      <c r="F356" s="19"/>
      <c r="G356" s="19"/>
      <c r="H356" s="19"/>
    </row>
    <row r="357" spans="1:8" ht="15.75" customHeight="1" x14ac:dyDescent="0.3">
      <c r="A357" s="19"/>
      <c r="B357" s="19"/>
      <c r="C357" s="19"/>
      <c r="D357" s="19"/>
      <c r="E357" s="19"/>
      <c r="F357" s="19"/>
      <c r="G357" s="19"/>
      <c r="H357" s="19"/>
    </row>
    <row r="358" spans="1:8" ht="15.75" customHeight="1" x14ac:dyDescent="0.3">
      <c r="A358" s="19"/>
      <c r="B358" s="19"/>
      <c r="C358" s="19"/>
      <c r="D358" s="19"/>
      <c r="E358" s="19"/>
      <c r="F358" s="19"/>
      <c r="G358" s="19"/>
      <c r="H358" s="19"/>
    </row>
    <row r="359" spans="1:8" ht="15.75" customHeight="1" x14ac:dyDescent="0.3">
      <c r="A359" s="19"/>
      <c r="B359" s="19"/>
      <c r="C359" s="19"/>
      <c r="D359" s="19"/>
      <c r="E359" s="19"/>
      <c r="F359" s="19"/>
      <c r="G359" s="19"/>
      <c r="H359" s="19"/>
    </row>
    <row r="360" spans="1:8" ht="15.75" customHeight="1" x14ac:dyDescent="0.3">
      <c r="A360" s="19"/>
      <c r="B360" s="19"/>
      <c r="C360" s="19"/>
      <c r="D360" s="19"/>
      <c r="E360" s="19"/>
      <c r="F360" s="19"/>
      <c r="G360" s="19"/>
      <c r="H360" s="19"/>
    </row>
    <row r="361" spans="1:8" ht="15.75" customHeight="1" x14ac:dyDescent="0.3">
      <c r="A361" s="19"/>
      <c r="B361" s="19"/>
      <c r="C361" s="19"/>
      <c r="D361" s="19"/>
      <c r="E361" s="19"/>
      <c r="F361" s="19"/>
      <c r="G361" s="19"/>
      <c r="H361" s="19"/>
    </row>
    <row r="362" spans="1:8" ht="15.75" customHeight="1" x14ac:dyDescent="0.3">
      <c r="A362" s="19"/>
      <c r="B362" s="19"/>
      <c r="C362" s="19"/>
      <c r="D362" s="19"/>
      <c r="E362" s="19"/>
      <c r="F362" s="19"/>
      <c r="G362" s="19"/>
      <c r="H362" s="19"/>
    </row>
    <row r="363" spans="1:8" ht="15.75" customHeight="1" x14ac:dyDescent="0.3">
      <c r="A363" s="19"/>
      <c r="B363" s="19"/>
      <c r="C363" s="19"/>
      <c r="D363" s="19"/>
      <c r="E363" s="19"/>
      <c r="F363" s="19"/>
      <c r="G363" s="19"/>
      <c r="H363" s="19"/>
    </row>
    <row r="364" spans="1:8" ht="15.75" customHeight="1" x14ac:dyDescent="0.3">
      <c r="A364" s="19"/>
      <c r="B364" s="19"/>
      <c r="C364" s="19"/>
      <c r="D364" s="19"/>
      <c r="E364" s="19"/>
      <c r="F364" s="19"/>
      <c r="G364" s="19"/>
      <c r="H364" s="19"/>
    </row>
    <row r="365" spans="1:8" ht="15.75" customHeight="1" x14ac:dyDescent="0.3">
      <c r="A365" s="19"/>
      <c r="B365" s="19"/>
      <c r="C365" s="19"/>
      <c r="D365" s="19"/>
      <c r="E365" s="19"/>
      <c r="F365" s="19"/>
      <c r="G365" s="19"/>
      <c r="H365" s="19"/>
    </row>
    <row r="366" spans="1:8" ht="15.75" customHeight="1" x14ac:dyDescent="0.3">
      <c r="A366" s="19"/>
      <c r="B366" s="19"/>
      <c r="C366" s="19"/>
      <c r="D366" s="19"/>
      <c r="E366" s="19"/>
      <c r="F366" s="19"/>
      <c r="G366" s="19"/>
      <c r="H366" s="19"/>
    </row>
    <row r="367" spans="1:8" ht="15.75" customHeight="1" x14ac:dyDescent="0.3">
      <c r="A367" s="19"/>
      <c r="B367" s="19"/>
      <c r="C367" s="19"/>
      <c r="D367" s="19"/>
      <c r="E367" s="19"/>
      <c r="F367" s="19"/>
      <c r="G367" s="19"/>
      <c r="H367" s="19"/>
    </row>
    <row r="368" spans="1:8" ht="15.75" customHeight="1" x14ac:dyDescent="0.3">
      <c r="A368" s="19"/>
      <c r="B368" s="19"/>
      <c r="C368" s="19"/>
      <c r="D368" s="19"/>
      <c r="E368" s="19"/>
      <c r="F368" s="19"/>
      <c r="G368" s="19"/>
      <c r="H368" s="19"/>
    </row>
    <row r="369" spans="1:8" ht="15.75" customHeight="1" x14ac:dyDescent="0.3">
      <c r="A369" s="19"/>
      <c r="B369" s="19"/>
      <c r="C369" s="19"/>
      <c r="D369" s="19"/>
      <c r="E369" s="19"/>
      <c r="F369" s="19"/>
      <c r="G369" s="19"/>
      <c r="H369" s="19"/>
    </row>
    <row r="370" spans="1:8" ht="15.75" customHeight="1" x14ac:dyDescent="0.3">
      <c r="A370" s="19"/>
      <c r="B370" s="19"/>
      <c r="C370" s="19"/>
      <c r="D370" s="19"/>
      <c r="E370" s="19"/>
      <c r="F370" s="19"/>
      <c r="G370" s="19"/>
      <c r="H370" s="19"/>
    </row>
    <row r="371" spans="1:8" ht="15.75" customHeight="1" x14ac:dyDescent="0.3">
      <c r="A371" s="19"/>
      <c r="B371" s="19"/>
      <c r="C371" s="19"/>
      <c r="D371" s="19"/>
      <c r="E371" s="19"/>
      <c r="F371" s="19"/>
      <c r="G371" s="19"/>
      <c r="H371" s="19"/>
    </row>
    <row r="372" spans="1:8" ht="15.75" customHeight="1" x14ac:dyDescent="0.3">
      <c r="A372" s="19"/>
      <c r="B372" s="19"/>
      <c r="C372" s="19"/>
      <c r="D372" s="19"/>
      <c r="E372" s="19"/>
      <c r="F372" s="19"/>
      <c r="G372" s="19"/>
      <c r="H372" s="19"/>
    </row>
    <row r="373" spans="1:8" ht="15.75" customHeight="1" x14ac:dyDescent="0.3">
      <c r="A373" s="19"/>
      <c r="B373" s="19"/>
      <c r="C373" s="19"/>
      <c r="D373" s="19"/>
      <c r="E373" s="19"/>
      <c r="F373" s="19"/>
      <c r="G373" s="19"/>
      <c r="H373" s="19"/>
    </row>
    <row r="374" spans="1:8" ht="15.75" customHeight="1" x14ac:dyDescent="0.3">
      <c r="A374" s="19"/>
      <c r="B374" s="19"/>
      <c r="C374" s="19"/>
      <c r="D374" s="19"/>
      <c r="E374" s="19"/>
      <c r="F374" s="19"/>
      <c r="G374" s="19"/>
      <c r="H374" s="19"/>
    </row>
    <row r="375" spans="1:8" ht="15.75" customHeight="1" x14ac:dyDescent="0.3">
      <c r="A375" s="19"/>
      <c r="B375" s="19"/>
      <c r="C375" s="19"/>
      <c r="D375" s="19"/>
      <c r="E375" s="19"/>
      <c r="F375" s="19"/>
      <c r="G375" s="19"/>
      <c r="H375" s="19"/>
    </row>
    <row r="376" spans="1:8" ht="15.75" customHeight="1" x14ac:dyDescent="0.3">
      <c r="A376" s="19"/>
      <c r="B376" s="19"/>
      <c r="C376" s="19"/>
      <c r="D376" s="19"/>
      <c r="E376" s="19"/>
      <c r="F376" s="19"/>
      <c r="G376" s="19"/>
      <c r="H376" s="19"/>
    </row>
    <row r="377" spans="1:8" ht="15.75" customHeight="1" x14ac:dyDescent="0.3">
      <c r="A377" s="19"/>
      <c r="B377" s="19"/>
      <c r="C377" s="19"/>
      <c r="D377" s="19"/>
      <c r="E377" s="19"/>
      <c r="F377" s="19"/>
      <c r="G377" s="19"/>
      <c r="H377" s="19"/>
    </row>
    <row r="378" spans="1:8" ht="15.75" customHeight="1" x14ac:dyDescent="0.3">
      <c r="A378" s="19"/>
      <c r="B378" s="19"/>
      <c r="C378" s="19"/>
      <c r="D378" s="19"/>
      <c r="E378" s="19"/>
      <c r="F378" s="19"/>
      <c r="G378" s="19"/>
      <c r="H378" s="19"/>
    </row>
    <row r="379" spans="1:8" ht="15.75" customHeight="1" x14ac:dyDescent="0.3">
      <c r="A379" s="19"/>
      <c r="B379" s="19"/>
      <c r="C379" s="19"/>
      <c r="D379" s="19"/>
      <c r="E379" s="19"/>
      <c r="F379" s="19"/>
      <c r="G379" s="19"/>
      <c r="H379" s="19"/>
    </row>
    <row r="380" spans="1:8" ht="15.75" customHeight="1" x14ac:dyDescent="0.3">
      <c r="A380" s="19"/>
      <c r="B380" s="19"/>
      <c r="C380" s="19"/>
      <c r="D380" s="19"/>
      <c r="E380" s="19"/>
      <c r="F380" s="19"/>
      <c r="G380" s="19"/>
      <c r="H380" s="19"/>
    </row>
    <row r="381" spans="1:8" ht="15.75" customHeight="1" x14ac:dyDescent="0.3">
      <c r="A381" s="19"/>
      <c r="B381" s="19"/>
      <c r="C381" s="19"/>
      <c r="D381" s="19"/>
      <c r="E381" s="19"/>
      <c r="F381" s="19"/>
      <c r="G381" s="19"/>
      <c r="H381" s="19"/>
    </row>
    <row r="382" spans="1:8" ht="15.75" customHeight="1" x14ac:dyDescent="0.3">
      <c r="A382" s="19"/>
      <c r="B382" s="19"/>
      <c r="C382" s="19"/>
      <c r="D382" s="19"/>
      <c r="E382" s="19"/>
      <c r="F382" s="19"/>
      <c r="G382" s="19"/>
      <c r="H382" s="19"/>
    </row>
    <row r="383" spans="1:8" ht="15.75" customHeight="1" x14ac:dyDescent="0.3">
      <c r="A383" s="19"/>
      <c r="B383" s="19"/>
      <c r="C383" s="19"/>
      <c r="D383" s="19"/>
      <c r="E383" s="19"/>
      <c r="F383" s="19"/>
      <c r="G383" s="19"/>
      <c r="H383" s="19"/>
    </row>
    <row r="384" spans="1:8" ht="15.75" customHeight="1" x14ac:dyDescent="0.3">
      <c r="A384" s="19"/>
      <c r="B384" s="19"/>
      <c r="C384" s="19"/>
      <c r="D384" s="19"/>
      <c r="E384" s="19"/>
      <c r="F384" s="19"/>
      <c r="G384" s="19"/>
      <c r="H384" s="19"/>
    </row>
    <row r="385" spans="1:8" ht="15.75" customHeight="1" x14ac:dyDescent="0.3">
      <c r="A385" s="19"/>
      <c r="B385" s="19"/>
      <c r="C385" s="19"/>
      <c r="D385" s="19"/>
      <c r="E385" s="19"/>
      <c r="F385" s="19"/>
      <c r="G385" s="19"/>
      <c r="H385" s="19"/>
    </row>
    <row r="386" spans="1:8" ht="15.75" customHeight="1" x14ac:dyDescent="0.3">
      <c r="A386" s="19"/>
      <c r="B386" s="19"/>
      <c r="C386" s="19"/>
      <c r="D386" s="19"/>
      <c r="E386" s="19"/>
      <c r="F386" s="19"/>
      <c r="G386" s="19"/>
      <c r="H386" s="19"/>
    </row>
    <row r="387" spans="1:8" ht="15.75" customHeight="1" x14ac:dyDescent="0.3">
      <c r="A387" s="19"/>
      <c r="B387" s="19"/>
      <c r="C387" s="19"/>
      <c r="D387" s="19"/>
      <c r="E387" s="19"/>
      <c r="F387" s="19"/>
      <c r="G387" s="19"/>
      <c r="H387" s="19"/>
    </row>
    <row r="388" spans="1:8" ht="15.75" customHeight="1" x14ac:dyDescent="0.3">
      <c r="A388" s="19"/>
      <c r="B388" s="19"/>
      <c r="C388" s="19"/>
      <c r="D388" s="19"/>
      <c r="E388" s="19"/>
      <c r="F388" s="19"/>
      <c r="G388" s="19"/>
      <c r="H388" s="19"/>
    </row>
    <row r="389" spans="1:8" ht="15.75" customHeight="1" x14ac:dyDescent="0.3">
      <c r="A389" s="19"/>
      <c r="B389" s="19"/>
      <c r="C389" s="19"/>
      <c r="D389" s="19"/>
      <c r="E389" s="19"/>
      <c r="F389" s="19"/>
      <c r="G389" s="19"/>
      <c r="H389" s="19"/>
    </row>
    <row r="390" spans="1:8" ht="15.75" customHeight="1" x14ac:dyDescent="0.3">
      <c r="A390" s="19"/>
      <c r="B390" s="19"/>
      <c r="C390" s="19"/>
      <c r="D390" s="19"/>
      <c r="E390" s="19"/>
      <c r="F390" s="19"/>
      <c r="G390" s="19"/>
      <c r="H390" s="19"/>
    </row>
    <row r="391" spans="1:8" ht="15.75" customHeight="1" x14ac:dyDescent="0.3">
      <c r="A391" s="19"/>
      <c r="B391" s="19"/>
      <c r="C391" s="19"/>
      <c r="D391" s="19"/>
      <c r="E391" s="19"/>
      <c r="F391" s="19"/>
      <c r="G391" s="19"/>
      <c r="H391" s="19"/>
    </row>
    <row r="392" spans="1:8" ht="15.75" customHeight="1" x14ac:dyDescent="0.3">
      <c r="A392" s="19"/>
      <c r="B392" s="19"/>
      <c r="C392" s="19"/>
      <c r="D392" s="19"/>
      <c r="E392" s="19"/>
      <c r="F392" s="19"/>
      <c r="G392" s="19"/>
      <c r="H392" s="19"/>
    </row>
    <row r="393" spans="1:8" ht="15.75" customHeight="1" x14ac:dyDescent="0.3">
      <c r="A393" s="19"/>
      <c r="B393" s="19"/>
      <c r="C393" s="19"/>
      <c r="D393" s="19"/>
      <c r="E393" s="19"/>
      <c r="F393" s="19"/>
      <c r="G393" s="19"/>
      <c r="H393" s="19"/>
    </row>
    <row r="394" spans="1:8" ht="15.75" customHeight="1" x14ac:dyDescent="0.3">
      <c r="A394" s="19"/>
      <c r="B394" s="19"/>
      <c r="C394" s="19"/>
      <c r="D394" s="19"/>
      <c r="E394" s="19"/>
      <c r="F394" s="19"/>
      <c r="G394" s="19"/>
      <c r="H394" s="19"/>
    </row>
    <row r="395" spans="1:8" ht="15.75" customHeight="1" x14ac:dyDescent="0.3">
      <c r="A395" s="19"/>
      <c r="B395" s="19"/>
      <c r="C395" s="19"/>
      <c r="D395" s="19"/>
      <c r="E395" s="19"/>
      <c r="F395" s="19"/>
      <c r="G395" s="19"/>
      <c r="H395" s="19"/>
    </row>
    <row r="396" spans="1:8" ht="15.75" customHeight="1" x14ac:dyDescent="0.3">
      <c r="A396" s="19"/>
      <c r="B396" s="19"/>
      <c r="C396" s="19"/>
      <c r="D396" s="19"/>
      <c r="E396" s="19"/>
      <c r="F396" s="19"/>
      <c r="G396" s="19"/>
      <c r="H396" s="19"/>
    </row>
    <row r="397" spans="1:8" ht="15.75" customHeight="1" x14ac:dyDescent="0.3">
      <c r="A397" s="19"/>
      <c r="B397" s="19"/>
      <c r="C397" s="19"/>
      <c r="D397" s="19"/>
      <c r="E397" s="19"/>
      <c r="F397" s="19"/>
      <c r="G397" s="19"/>
      <c r="H397" s="19"/>
    </row>
    <row r="398" spans="1:8" ht="15.75" customHeight="1" x14ac:dyDescent="0.3">
      <c r="A398" s="19"/>
      <c r="B398" s="19"/>
      <c r="C398" s="19"/>
      <c r="D398" s="19"/>
      <c r="E398" s="19"/>
      <c r="F398" s="19"/>
      <c r="G398" s="19"/>
      <c r="H398" s="19"/>
    </row>
    <row r="399" spans="1:8" ht="15.75" customHeight="1" x14ac:dyDescent="0.3">
      <c r="A399" s="19"/>
      <c r="B399" s="19"/>
      <c r="C399" s="19"/>
      <c r="D399" s="19"/>
      <c r="E399" s="19"/>
      <c r="F399" s="19"/>
      <c r="G399" s="19"/>
      <c r="H399" s="19"/>
    </row>
    <row r="400" spans="1:8" ht="15.75" customHeight="1" x14ac:dyDescent="0.3">
      <c r="A400" s="19"/>
      <c r="B400" s="19"/>
      <c r="C400" s="19"/>
      <c r="D400" s="19"/>
      <c r="E400" s="19"/>
      <c r="F400" s="19"/>
      <c r="G400" s="19"/>
      <c r="H400" s="19"/>
    </row>
    <row r="401" spans="1:8" ht="15.75" customHeight="1" x14ac:dyDescent="0.3">
      <c r="A401" s="19"/>
      <c r="B401" s="19"/>
      <c r="C401" s="19"/>
      <c r="D401" s="19"/>
      <c r="E401" s="19"/>
      <c r="F401" s="19"/>
      <c r="G401" s="19"/>
      <c r="H401" s="19"/>
    </row>
    <row r="402" spans="1:8" ht="15.75" customHeight="1" x14ac:dyDescent="0.3">
      <c r="A402" s="19"/>
      <c r="B402" s="19"/>
      <c r="C402" s="19"/>
      <c r="D402" s="19"/>
      <c r="E402" s="19"/>
      <c r="F402" s="19"/>
      <c r="G402" s="19"/>
      <c r="H402" s="19"/>
    </row>
    <row r="403" spans="1:8" ht="15.75" customHeight="1" x14ac:dyDescent="0.3">
      <c r="A403" s="19"/>
      <c r="B403" s="19"/>
      <c r="C403" s="19"/>
      <c r="D403" s="19"/>
      <c r="E403" s="19"/>
      <c r="F403" s="19"/>
      <c r="G403" s="19"/>
      <c r="H403" s="19"/>
    </row>
    <row r="404" spans="1:8" ht="15.75" customHeight="1" x14ac:dyDescent="0.3">
      <c r="A404" s="19"/>
      <c r="B404" s="19"/>
      <c r="C404" s="19"/>
      <c r="D404" s="19"/>
      <c r="E404" s="19"/>
      <c r="F404" s="19"/>
      <c r="G404" s="19"/>
      <c r="H404" s="19"/>
    </row>
    <row r="405" spans="1:8" ht="15.75" customHeight="1" x14ac:dyDescent="0.3">
      <c r="A405" s="19"/>
      <c r="B405" s="19"/>
      <c r="C405" s="19"/>
      <c r="D405" s="19"/>
      <c r="E405" s="19"/>
      <c r="F405" s="19"/>
      <c r="G405" s="19"/>
      <c r="H405" s="19"/>
    </row>
    <row r="406" spans="1:8" ht="15.75" customHeight="1" x14ac:dyDescent="0.3">
      <c r="A406" s="19"/>
      <c r="B406" s="19"/>
      <c r="C406" s="19"/>
      <c r="D406" s="19"/>
      <c r="E406" s="19"/>
      <c r="F406" s="19"/>
      <c r="G406" s="19"/>
      <c r="H406" s="19"/>
    </row>
    <row r="407" spans="1:8" ht="15.75" customHeight="1" x14ac:dyDescent="0.3">
      <c r="A407" s="19"/>
      <c r="B407" s="19"/>
      <c r="C407" s="19"/>
      <c r="D407" s="19"/>
      <c r="E407" s="19"/>
      <c r="F407" s="19"/>
      <c r="G407" s="19"/>
      <c r="H407" s="19"/>
    </row>
    <row r="408" spans="1:8" ht="15.75" customHeight="1" x14ac:dyDescent="0.3">
      <c r="A408" s="19"/>
      <c r="B408" s="19"/>
      <c r="C408" s="19"/>
      <c r="D408" s="19"/>
      <c r="E408" s="19"/>
      <c r="F408" s="19"/>
      <c r="G408" s="19"/>
      <c r="H408" s="19"/>
    </row>
    <row r="409" spans="1:8" ht="15.75" customHeight="1" x14ac:dyDescent="0.3">
      <c r="A409" s="19"/>
      <c r="B409" s="19"/>
      <c r="C409" s="19"/>
      <c r="D409" s="19"/>
      <c r="E409" s="19"/>
      <c r="F409" s="19"/>
      <c r="G409" s="19"/>
      <c r="H409" s="19"/>
    </row>
    <row r="410" spans="1:8" ht="15.75" customHeight="1" x14ac:dyDescent="0.3">
      <c r="A410" s="19"/>
      <c r="B410" s="19"/>
      <c r="C410" s="19"/>
      <c r="D410" s="19"/>
      <c r="E410" s="19"/>
      <c r="F410" s="19"/>
      <c r="G410" s="19"/>
      <c r="H410" s="19"/>
    </row>
    <row r="411" spans="1:8" ht="15.75" customHeight="1" x14ac:dyDescent="0.3">
      <c r="A411" s="19"/>
      <c r="B411" s="19"/>
      <c r="C411" s="19"/>
      <c r="D411" s="19"/>
      <c r="E411" s="19"/>
      <c r="F411" s="19"/>
      <c r="G411" s="19"/>
      <c r="H411" s="19"/>
    </row>
    <row r="412" spans="1:8" ht="15.75" customHeight="1" x14ac:dyDescent="0.3">
      <c r="A412" s="19"/>
      <c r="B412" s="19"/>
      <c r="C412" s="19"/>
      <c r="D412" s="19"/>
      <c r="E412" s="19"/>
      <c r="F412" s="19"/>
      <c r="G412" s="19"/>
      <c r="H412" s="19"/>
    </row>
    <row r="413" spans="1:8" ht="15.75" customHeight="1" x14ac:dyDescent="0.3">
      <c r="A413" s="19"/>
      <c r="B413" s="19"/>
      <c r="C413" s="19"/>
      <c r="D413" s="19"/>
      <c r="E413" s="19"/>
      <c r="F413" s="19"/>
      <c r="G413" s="19"/>
      <c r="H413" s="19"/>
    </row>
    <row r="414" spans="1:8" ht="15.75" customHeight="1" x14ac:dyDescent="0.3">
      <c r="A414" s="19"/>
      <c r="B414" s="19"/>
      <c r="C414" s="19"/>
      <c r="D414" s="19"/>
      <c r="E414" s="19"/>
      <c r="F414" s="19"/>
      <c r="G414" s="19"/>
      <c r="H414" s="19"/>
    </row>
    <row r="415" spans="1:8" ht="15.75" customHeight="1" x14ac:dyDescent="0.3">
      <c r="A415" s="19"/>
      <c r="B415" s="19"/>
      <c r="C415" s="19"/>
      <c r="D415" s="19"/>
      <c r="E415" s="19"/>
      <c r="F415" s="19"/>
      <c r="G415" s="19"/>
      <c r="H415" s="19"/>
    </row>
    <row r="416" spans="1:8" ht="15.75" customHeight="1" x14ac:dyDescent="0.3">
      <c r="A416" s="19"/>
      <c r="B416" s="19"/>
      <c r="C416" s="19"/>
      <c r="D416" s="19"/>
      <c r="E416" s="19"/>
      <c r="F416" s="19"/>
      <c r="G416" s="19"/>
      <c r="H416" s="19"/>
    </row>
    <row r="417" spans="1:8" ht="15.75" customHeight="1" x14ac:dyDescent="0.3">
      <c r="A417" s="19"/>
      <c r="B417" s="19"/>
      <c r="C417" s="19"/>
      <c r="D417" s="19"/>
      <c r="E417" s="19"/>
      <c r="F417" s="19"/>
      <c r="G417" s="19"/>
      <c r="H417" s="19"/>
    </row>
    <row r="418" spans="1:8" ht="15.75" customHeight="1" x14ac:dyDescent="0.3">
      <c r="A418" s="19"/>
      <c r="B418" s="19"/>
      <c r="C418" s="19"/>
      <c r="D418" s="19"/>
      <c r="E418" s="19"/>
      <c r="F418" s="19"/>
      <c r="G418" s="19"/>
      <c r="H418" s="19"/>
    </row>
    <row r="419" spans="1:8" ht="15.75" customHeight="1" x14ac:dyDescent="0.3">
      <c r="A419" s="19"/>
      <c r="B419" s="19"/>
      <c r="C419" s="19"/>
      <c r="D419" s="19"/>
      <c r="E419" s="19"/>
      <c r="F419" s="19"/>
      <c r="G419" s="19"/>
      <c r="H419" s="19"/>
    </row>
    <row r="420" spans="1:8" ht="15.75" customHeight="1" x14ac:dyDescent="0.3">
      <c r="A420" s="19"/>
      <c r="B420" s="19"/>
      <c r="C420" s="19"/>
      <c r="D420" s="19"/>
      <c r="E420" s="19"/>
      <c r="F420" s="19"/>
      <c r="G420" s="19"/>
      <c r="H420" s="19"/>
    </row>
    <row r="421" spans="1:8" ht="15.75" customHeight="1" x14ac:dyDescent="0.3">
      <c r="A421" s="19"/>
      <c r="B421" s="19"/>
      <c r="C421" s="19"/>
      <c r="D421" s="19"/>
      <c r="E421" s="19"/>
      <c r="F421" s="19"/>
      <c r="G421" s="19"/>
      <c r="H421" s="19"/>
    </row>
    <row r="422" spans="1:8" ht="15.75" customHeight="1" x14ac:dyDescent="0.3">
      <c r="A422" s="19"/>
      <c r="B422" s="19"/>
      <c r="C422" s="19"/>
      <c r="D422" s="19"/>
      <c r="E422" s="19"/>
      <c r="F422" s="19"/>
      <c r="G422" s="19"/>
      <c r="H422" s="19"/>
    </row>
    <row r="423" spans="1:8" ht="15.75" customHeight="1" x14ac:dyDescent="0.3">
      <c r="A423" s="19"/>
      <c r="B423" s="19"/>
      <c r="C423" s="19"/>
      <c r="D423" s="19"/>
      <c r="E423" s="19"/>
      <c r="F423" s="19"/>
      <c r="G423" s="19"/>
      <c r="H423" s="19"/>
    </row>
    <row r="424" spans="1:8" ht="15.75" customHeight="1" x14ac:dyDescent="0.3">
      <c r="A424" s="19"/>
      <c r="B424" s="19"/>
      <c r="C424" s="19"/>
      <c r="D424" s="19"/>
      <c r="E424" s="19"/>
      <c r="F424" s="19"/>
      <c r="G424" s="19"/>
      <c r="H424" s="19"/>
    </row>
    <row r="425" spans="1:8" ht="15.75" customHeight="1" x14ac:dyDescent="0.3">
      <c r="A425" s="19"/>
      <c r="B425" s="19"/>
      <c r="C425" s="19"/>
      <c r="D425" s="19"/>
      <c r="E425" s="19"/>
      <c r="F425" s="19"/>
      <c r="G425" s="19"/>
      <c r="H425" s="19"/>
    </row>
    <row r="426" spans="1:8" ht="15.75" customHeight="1" x14ac:dyDescent="0.3">
      <c r="A426" s="19"/>
      <c r="B426" s="19"/>
      <c r="C426" s="19"/>
      <c r="D426" s="19"/>
      <c r="E426" s="19"/>
      <c r="F426" s="19"/>
      <c r="G426" s="19"/>
      <c r="H426" s="19"/>
    </row>
    <row r="427" spans="1:8" ht="15.75" customHeight="1" x14ac:dyDescent="0.3">
      <c r="A427" s="19"/>
      <c r="B427" s="19"/>
      <c r="C427" s="19"/>
      <c r="D427" s="19"/>
      <c r="E427" s="19"/>
      <c r="F427" s="19"/>
      <c r="G427" s="19"/>
      <c r="H427" s="19"/>
    </row>
    <row r="428" spans="1:8" ht="15.75" customHeight="1" x14ac:dyDescent="0.3">
      <c r="A428" s="19"/>
      <c r="B428" s="19"/>
      <c r="C428" s="19"/>
      <c r="D428" s="19"/>
      <c r="E428" s="19"/>
      <c r="F428" s="19"/>
      <c r="G428" s="19"/>
      <c r="H428" s="19"/>
    </row>
    <row r="429" spans="1:8" ht="15.75" customHeight="1" x14ac:dyDescent="0.3">
      <c r="A429" s="19"/>
      <c r="B429" s="19"/>
      <c r="C429" s="19"/>
      <c r="D429" s="19"/>
      <c r="E429" s="19"/>
      <c r="F429" s="19"/>
      <c r="G429" s="19"/>
      <c r="H429" s="19"/>
    </row>
    <row r="430" spans="1:8" ht="15.75" customHeight="1" x14ac:dyDescent="0.3">
      <c r="A430" s="19"/>
      <c r="B430" s="19"/>
      <c r="C430" s="19"/>
      <c r="D430" s="19"/>
      <c r="E430" s="19"/>
      <c r="F430" s="19"/>
      <c r="G430" s="19"/>
      <c r="H430" s="19"/>
    </row>
    <row r="431" spans="1:8" ht="15.75" customHeight="1" x14ac:dyDescent="0.3">
      <c r="A431" s="19"/>
      <c r="B431" s="19"/>
      <c r="C431" s="19"/>
      <c r="D431" s="19"/>
      <c r="E431" s="19"/>
      <c r="F431" s="19"/>
      <c r="G431" s="19"/>
      <c r="H431" s="19"/>
    </row>
    <row r="432" spans="1:8" ht="15.75" customHeight="1" x14ac:dyDescent="0.3">
      <c r="A432" s="19"/>
      <c r="B432" s="19"/>
      <c r="C432" s="19"/>
      <c r="D432" s="19"/>
      <c r="E432" s="19"/>
      <c r="F432" s="19"/>
      <c r="G432" s="19"/>
      <c r="H432" s="19"/>
    </row>
    <row r="433" spans="1:8" ht="15.75" customHeight="1" x14ac:dyDescent="0.3">
      <c r="A433" s="19"/>
      <c r="B433" s="19"/>
      <c r="C433" s="19"/>
      <c r="D433" s="19"/>
      <c r="E433" s="19"/>
      <c r="F433" s="19"/>
      <c r="G433" s="19"/>
      <c r="H433" s="19"/>
    </row>
    <row r="434" spans="1:8" ht="15.75" customHeight="1" x14ac:dyDescent="0.3">
      <c r="A434" s="19"/>
      <c r="B434" s="19"/>
      <c r="C434" s="19"/>
      <c r="D434" s="19"/>
      <c r="E434" s="19"/>
      <c r="F434" s="19"/>
      <c r="G434" s="19"/>
      <c r="H434" s="19"/>
    </row>
    <row r="435" spans="1:8" ht="15.75" customHeight="1" x14ac:dyDescent="0.3">
      <c r="A435" s="19"/>
      <c r="B435" s="19"/>
      <c r="C435" s="19"/>
      <c r="D435" s="19"/>
      <c r="E435" s="19"/>
      <c r="F435" s="19"/>
      <c r="G435" s="19"/>
      <c r="H435" s="19"/>
    </row>
    <row r="436" spans="1:8" ht="15.75" customHeight="1" x14ac:dyDescent="0.3">
      <c r="A436" s="19"/>
      <c r="B436" s="19"/>
      <c r="C436" s="19"/>
      <c r="D436" s="19"/>
      <c r="E436" s="19"/>
      <c r="F436" s="19"/>
      <c r="G436" s="19"/>
      <c r="H436" s="19"/>
    </row>
    <row r="437" spans="1:8" ht="15.75" customHeight="1" x14ac:dyDescent="0.3">
      <c r="A437" s="19"/>
      <c r="B437" s="19"/>
      <c r="C437" s="19"/>
      <c r="D437" s="19"/>
      <c r="E437" s="19"/>
      <c r="F437" s="19"/>
      <c r="G437" s="19"/>
      <c r="H437" s="19"/>
    </row>
    <row r="438" spans="1:8" ht="15.75" customHeight="1" x14ac:dyDescent="0.3">
      <c r="A438" s="19"/>
      <c r="B438" s="19"/>
      <c r="C438" s="19"/>
      <c r="D438" s="19"/>
      <c r="E438" s="19"/>
      <c r="F438" s="19"/>
      <c r="G438" s="19"/>
      <c r="H438" s="19"/>
    </row>
    <row r="439" spans="1:8" ht="15.75" customHeight="1" x14ac:dyDescent="0.3">
      <c r="A439" s="19"/>
      <c r="B439" s="19"/>
      <c r="C439" s="19"/>
      <c r="D439" s="19"/>
      <c r="E439" s="19"/>
      <c r="F439" s="19"/>
      <c r="G439" s="19"/>
      <c r="H439" s="19"/>
    </row>
    <row r="440" spans="1:8" ht="15.75" customHeight="1" x14ac:dyDescent="0.3">
      <c r="A440" s="19"/>
      <c r="B440" s="19"/>
      <c r="C440" s="19"/>
      <c r="D440" s="19"/>
      <c r="E440" s="19"/>
      <c r="F440" s="19"/>
      <c r="G440" s="19"/>
      <c r="H440" s="19"/>
    </row>
    <row r="441" spans="1:8" ht="15.75" customHeight="1" x14ac:dyDescent="0.3">
      <c r="A441" s="19"/>
      <c r="B441" s="19"/>
      <c r="C441" s="19"/>
      <c r="D441" s="19"/>
      <c r="E441" s="19"/>
      <c r="F441" s="19"/>
      <c r="G441" s="19"/>
      <c r="H441" s="19"/>
    </row>
    <row r="442" spans="1:8" ht="15.75" customHeight="1" x14ac:dyDescent="0.3">
      <c r="A442" s="19"/>
      <c r="B442" s="19"/>
      <c r="C442" s="19"/>
      <c r="D442" s="19"/>
      <c r="E442" s="19"/>
      <c r="F442" s="19"/>
      <c r="G442" s="19"/>
      <c r="H442" s="19"/>
    </row>
    <row r="443" spans="1:8" ht="15.75" customHeight="1" x14ac:dyDescent="0.3">
      <c r="A443" s="19"/>
      <c r="B443" s="19"/>
      <c r="C443" s="19"/>
      <c r="D443" s="19"/>
      <c r="E443" s="19"/>
      <c r="F443" s="19"/>
      <c r="G443" s="19"/>
      <c r="H443" s="19"/>
    </row>
    <row r="444" spans="1:8" ht="15.75" customHeight="1" x14ac:dyDescent="0.3">
      <c r="A444" s="19"/>
      <c r="B444" s="19"/>
      <c r="C444" s="19"/>
      <c r="D444" s="19"/>
      <c r="E444" s="19"/>
      <c r="F444" s="19"/>
      <c r="G444" s="19"/>
      <c r="H444" s="19"/>
    </row>
    <row r="445" spans="1:8" ht="15.75" customHeight="1" x14ac:dyDescent="0.3">
      <c r="A445" s="19"/>
      <c r="B445" s="19"/>
      <c r="C445" s="19"/>
      <c r="D445" s="19"/>
      <c r="E445" s="19"/>
      <c r="F445" s="19"/>
      <c r="G445" s="19"/>
      <c r="H445" s="19"/>
    </row>
    <row r="446" spans="1:8" ht="15.75" customHeight="1" x14ac:dyDescent="0.3">
      <c r="A446" s="19"/>
      <c r="B446" s="19"/>
      <c r="C446" s="19"/>
      <c r="D446" s="19"/>
      <c r="E446" s="19"/>
      <c r="F446" s="19"/>
      <c r="G446" s="19"/>
      <c r="H446" s="19"/>
    </row>
    <row r="447" spans="1:8" ht="15.75" customHeight="1" x14ac:dyDescent="0.3">
      <c r="A447" s="19"/>
      <c r="B447" s="19"/>
      <c r="C447" s="19"/>
      <c r="D447" s="19"/>
      <c r="E447" s="19"/>
      <c r="F447" s="19"/>
      <c r="G447" s="19"/>
      <c r="H447" s="19"/>
    </row>
    <row r="448" spans="1:8" ht="15.75" customHeight="1" x14ac:dyDescent="0.3">
      <c r="A448" s="19"/>
      <c r="B448" s="19"/>
      <c r="C448" s="19"/>
      <c r="D448" s="19"/>
      <c r="E448" s="19"/>
      <c r="F448" s="19"/>
      <c r="G448" s="19"/>
      <c r="H448" s="19"/>
    </row>
    <row r="449" spans="1:8" ht="15.75" customHeight="1" x14ac:dyDescent="0.3">
      <c r="A449" s="19"/>
      <c r="B449" s="19"/>
      <c r="C449" s="19"/>
      <c r="D449" s="19"/>
      <c r="E449" s="19"/>
      <c r="F449" s="19"/>
      <c r="G449" s="19"/>
      <c r="H449" s="19"/>
    </row>
    <row r="450" spans="1:8" ht="15.75" customHeight="1" x14ac:dyDescent="0.3">
      <c r="A450" s="19"/>
      <c r="B450" s="19"/>
      <c r="C450" s="19"/>
      <c r="D450" s="19"/>
      <c r="E450" s="19"/>
      <c r="F450" s="19"/>
      <c r="G450" s="19"/>
      <c r="H450" s="19"/>
    </row>
    <row r="451" spans="1:8" ht="15.75" customHeight="1" x14ac:dyDescent="0.3">
      <c r="A451" s="19"/>
      <c r="B451" s="19"/>
      <c r="C451" s="19"/>
      <c r="D451" s="19"/>
      <c r="E451" s="19"/>
      <c r="F451" s="19"/>
      <c r="G451" s="19"/>
      <c r="H451" s="19"/>
    </row>
    <row r="452" spans="1:8" ht="15.75" customHeight="1" x14ac:dyDescent="0.3">
      <c r="A452" s="19"/>
      <c r="B452" s="19"/>
      <c r="C452" s="19"/>
      <c r="D452" s="19"/>
      <c r="E452" s="19"/>
      <c r="F452" s="19"/>
      <c r="G452" s="19"/>
      <c r="H452" s="19"/>
    </row>
    <row r="453" spans="1:8" ht="15.75" customHeight="1" x14ac:dyDescent="0.3">
      <c r="A453" s="19"/>
      <c r="B453" s="19"/>
      <c r="C453" s="19"/>
      <c r="D453" s="19"/>
      <c r="E453" s="19"/>
      <c r="F453" s="19"/>
      <c r="G453" s="19"/>
      <c r="H453" s="19"/>
    </row>
    <row r="454" spans="1:8" ht="15.75" customHeight="1" x14ac:dyDescent="0.3">
      <c r="A454" s="19"/>
      <c r="B454" s="19"/>
      <c r="C454" s="19"/>
      <c r="D454" s="19"/>
      <c r="E454" s="19"/>
      <c r="F454" s="19"/>
      <c r="G454" s="19"/>
      <c r="H454" s="19"/>
    </row>
    <row r="455" spans="1:8" ht="15.75" customHeight="1" x14ac:dyDescent="0.3">
      <c r="A455" s="19"/>
      <c r="B455" s="19"/>
      <c r="C455" s="19"/>
      <c r="D455" s="19"/>
      <c r="E455" s="19"/>
      <c r="F455" s="19"/>
      <c r="G455" s="19"/>
      <c r="H455" s="19"/>
    </row>
    <row r="456" spans="1:8" ht="15.75" customHeight="1" x14ac:dyDescent="0.3">
      <c r="A456" s="19"/>
      <c r="B456" s="19"/>
      <c r="C456" s="19"/>
      <c r="D456" s="19"/>
      <c r="E456" s="19"/>
      <c r="F456" s="19"/>
      <c r="G456" s="19"/>
      <c r="H456" s="19"/>
    </row>
    <row r="457" spans="1:8" ht="15.75" customHeight="1" x14ac:dyDescent="0.3">
      <c r="A457" s="19"/>
      <c r="B457" s="19"/>
      <c r="C457" s="19"/>
      <c r="D457" s="19"/>
      <c r="E457" s="19"/>
      <c r="F457" s="19"/>
      <c r="G457" s="19"/>
      <c r="H457" s="19"/>
    </row>
    <row r="458" spans="1:8" ht="15.75" customHeight="1" x14ac:dyDescent="0.3">
      <c r="A458" s="19"/>
      <c r="B458" s="19"/>
      <c r="C458" s="19"/>
      <c r="D458" s="19"/>
      <c r="E458" s="19"/>
      <c r="F458" s="19"/>
      <c r="G458" s="19"/>
      <c r="H458" s="19"/>
    </row>
    <row r="459" spans="1:8" ht="15.75" customHeight="1" x14ac:dyDescent="0.3">
      <c r="A459" s="19"/>
      <c r="B459" s="19"/>
      <c r="C459" s="19"/>
      <c r="D459" s="19"/>
      <c r="E459" s="19"/>
      <c r="F459" s="19"/>
      <c r="G459" s="19"/>
      <c r="H459" s="19"/>
    </row>
    <row r="460" spans="1:8" ht="15.75" customHeight="1" x14ac:dyDescent="0.3">
      <c r="A460" s="19"/>
      <c r="B460" s="19"/>
      <c r="C460" s="19"/>
      <c r="D460" s="19"/>
      <c r="E460" s="19"/>
      <c r="F460" s="19"/>
      <c r="G460" s="19"/>
      <c r="H460" s="19"/>
    </row>
    <row r="461" spans="1:8" ht="15.75" customHeight="1" x14ac:dyDescent="0.3">
      <c r="A461" s="19"/>
      <c r="B461" s="19"/>
      <c r="C461" s="19"/>
      <c r="D461" s="19"/>
      <c r="E461" s="19"/>
      <c r="F461" s="19"/>
      <c r="G461" s="19"/>
      <c r="H461" s="19"/>
    </row>
    <row r="462" spans="1:8" ht="15.75" customHeight="1" x14ac:dyDescent="0.3">
      <c r="A462" s="19"/>
      <c r="B462" s="19"/>
      <c r="C462" s="19"/>
      <c r="D462" s="19"/>
      <c r="E462" s="19"/>
      <c r="F462" s="19"/>
      <c r="G462" s="19"/>
      <c r="H462" s="19"/>
    </row>
    <row r="463" spans="1:8" ht="15.75" customHeight="1" x14ac:dyDescent="0.3">
      <c r="A463" s="19"/>
      <c r="B463" s="19"/>
      <c r="C463" s="19"/>
      <c r="D463" s="19"/>
      <c r="E463" s="19"/>
      <c r="F463" s="19"/>
      <c r="G463" s="19"/>
      <c r="H463" s="19"/>
    </row>
    <row r="464" spans="1:8" ht="15.75" customHeight="1" x14ac:dyDescent="0.3">
      <c r="A464" s="19"/>
      <c r="B464" s="19"/>
      <c r="C464" s="19"/>
      <c r="D464" s="19"/>
      <c r="E464" s="19"/>
      <c r="F464" s="19"/>
      <c r="G464" s="19"/>
      <c r="H464" s="19"/>
    </row>
    <row r="465" spans="1:8" ht="15.75" customHeight="1" x14ac:dyDescent="0.3">
      <c r="A465" s="19"/>
      <c r="B465" s="19"/>
      <c r="C465" s="19"/>
      <c r="D465" s="19"/>
      <c r="E465" s="19"/>
      <c r="F465" s="19"/>
      <c r="G465" s="19"/>
      <c r="H465" s="19"/>
    </row>
    <row r="466" spans="1:8" ht="15.75" customHeight="1" x14ac:dyDescent="0.3">
      <c r="A466" s="19"/>
      <c r="B466" s="19"/>
      <c r="C466" s="19"/>
      <c r="D466" s="19"/>
      <c r="E466" s="19"/>
      <c r="F466" s="19"/>
      <c r="G466" s="19"/>
      <c r="H466" s="19"/>
    </row>
    <row r="467" spans="1:8" ht="15.75" customHeight="1" x14ac:dyDescent="0.3">
      <c r="A467" s="19"/>
      <c r="B467" s="19"/>
      <c r="C467" s="19"/>
      <c r="D467" s="19"/>
      <c r="E467" s="19"/>
      <c r="F467" s="19"/>
      <c r="G467" s="19"/>
      <c r="H467" s="19"/>
    </row>
    <row r="468" spans="1:8" ht="15.75" customHeight="1" x14ac:dyDescent="0.3">
      <c r="A468" s="19"/>
      <c r="B468" s="19"/>
      <c r="C468" s="19"/>
      <c r="D468" s="19"/>
      <c r="E468" s="19"/>
      <c r="F468" s="19"/>
      <c r="G468" s="19"/>
      <c r="H468" s="19"/>
    </row>
    <row r="469" spans="1:8" ht="15.75" customHeight="1" x14ac:dyDescent="0.3">
      <c r="A469" s="19"/>
      <c r="B469" s="19"/>
      <c r="C469" s="19"/>
      <c r="D469" s="19"/>
      <c r="E469" s="19"/>
      <c r="F469" s="19"/>
      <c r="G469" s="19"/>
      <c r="H469" s="19"/>
    </row>
    <row r="470" spans="1:8" ht="15.75" customHeight="1" x14ac:dyDescent="0.3">
      <c r="A470" s="19"/>
      <c r="B470" s="19"/>
      <c r="C470" s="19"/>
      <c r="D470" s="19"/>
      <c r="E470" s="19"/>
      <c r="F470" s="19"/>
      <c r="G470" s="19"/>
      <c r="H470" s="19"/>
    </row>
    <row r="471" spans="1:8" ht="15.75" customHeight="1" x14ac:dyDescent="0.3">
      <c r="A471" s="19"/>
      <c r="B471" s="19"/>
      <c r="C471" s="19"/>
      <c r="D471" s="19"/>
      <c r="E471" s="19"/>
      <c r="F471" s="19"/>
      <c r="G471" s="19"/>
      <c r="H471" s="19"/>
    </row>
    <row r="472" spans="1:8" ht="15.75" customHeight="1" x14ac:dyDescent="0.3">
      <c r="A472" s="19"/>
      <c r="B472" s="19"/>
      <c r="C472" s="19"/>
      <c r="D472" s="19"/>
      <c r="E472" s="19"/>
      <c r="F472" s="19"/>
      <c r="G472" s="19"/>
      <c r="H472" s="19"/>
    </row>
    <row r="473" spans="1:8" ht="15.75" customHeight="1" x14ac:dyDescent="0.3">
      <c r="A473" s="19"/>
      <c r="B473" s="19"/>
      <c r="C473" s="19"/>
      <c r="D473" s="19"/>
      <c r="E473" s="19"/>
      <c r="F473" s="19"/>
      <c r="G473" s="19"/>
      <c r="H473" s="19"/>
    </row>
    <row r="474" spans="1:8" ht="15.75" customHeight="1" x14ac:dyDescent="0.3">
      <c r="A474" s="19"/>
      <c r="B474" s="19"/>
      <c r="C474" s="19"/>
      <c r="D474" s="19"/>
      <c r="E474" s="19"/>
      <c r="F474" s="19"/>
      <c r="G474" s="19"/>
      <c r="H474" s="19"/>
    </row>
    <row r="475" spans="1:8" ht="15.75" customHeight="1" x14ac:dyDescent="0.3">
      <c r="A475" s="19"/>
      <c r="B475" s="19"/>
      <c r="C475" s="19"/>
      <c r="D475" s="19"/>
      <c r="E475" s="19"/>
      <c r="F475" s="19"/>
      <c r="G475" s="19"/>
      <c r="H475" s="19"/>
    </row>
    <row r="476" spans="1:8" ht="15.75" customHeight="1" x14ac:dyDescent="0.3">
      <c r="A476" s="19"/>
      <c r="B476" s="19"/>
      <c r="C476" s="19"/>
      <c r="D476" s="19"/>
      <c r="E476" s="19"/>
      <c r="F476" s="19"/>
      <c r="G476" s="19"/>
      <c r="H476" s="19"/>
    </row>
    <row r="477" spans="1:8" ht="15.75" customHeight="1" x14ac:dyDescent="0.3">
      <c r="A477" s="19"/>
      <c r="B477" s="19"/>
      <c r="C477" s="19"/>
      <c r="D477" s="19"/>
      <c r="E477" s="19"/>
      <c r="F477" s="19"/>
      <c r="G477" s="19"/>
      <c r="H477" s="19"/>
    </row>
    <row r="478" spans="1:8" ht="15.75" customHeight="1" x14ac:dyDescent="0.3">
      <c r="A478" s="19"/>
      <c r="B478" s="19"/>
      <c r="C478" s="19"/>
      <c r="D478" s="19"/>
      <c r="E478" s="19"/>
      <c r="F478" s="19"/>
      <c r="G478" s="19"/>
      <c r="H478" s="19"/>
    </row>
    <row r="479" spans="1:8" ht="15.75" customHeight="1" x14ac:dyDescent="0.3">
      <c r="A479" s="19"/>
      <c r="B479" s="19"/>
      <c r="C479" s="19"/>
      <c r="D479" s="19"/>
      <c r="E479" s="19"/>
      <c r="F479" s="19"/>
      <c r="G479" s="19"/>
      <c r="H479" s="19"/>
    </row>
    <row r="480" spans="1:8" ht="15.75" customHeight="1" x14ac:dyDescent="0.3">
      <c r="A480" s="19"/>
      <c r="B480" s="19"/>
      <c r="C480" s="19"/>
      <c r="D480" s="19"/>
      <c r="E480" s="19"/>
      <c r="F480" s="19"/>
      <c r="G480" s="19"/>
      <c r="H480" s="19"/>
    </row>
    <row r="481" spans="1:8" ht="15.75" customHeight="1" x14ac:dyDescent="0.3">
      <c r="A481" s="19"/>
      <c r="B481" s="19"/>
      <c r="C481" s="19"/>
      <c r="D481" s="19"/>
      <c r="E481" s="19"/>
      <c r="F481" s="19"/>
      <c r="G481" s="19"/>
      <c r="H481" s="19"/>
    </row>
    <row r="482" spans="1:8" ht="15.75" customHeight="1" x14ac:dyDescent="0.3">
      <c r="A482" s="19"/>
      <c r="B482" s="19"/>
      <c r="C482" s="19"/>
      <c r="D482" s="19"/>
      <c r="E482" s="19"/>
      <c r="F482" s="19"/>
      <c r="G482" s="19"/>
      <c r="H482" s="19"/>
    </row>
    <row r="483" spans="1:8" ht="15.75" customHeight="1" x14ac:dyDescent="0.3">
      <c r="A483" s="19"/>
      <c r="B483" s="19"/>
      <c r="C483" s="19"/>
      <c r="D483" s="19"/>
      <c r="E483" s="19"/>
      <c r="F483" s="19"/>
      <c r="G483" s="19"/>
      <c r="H483" s="19"/>
    </row>
    <row r="484" spans="1:8" ht="15.75" customHeight="1" x14ac:dyDescent="0.3">
      <c r="A484" s="19"/>
      <c r="B484" s="19"/>
      <c r="C484" s="19"/>
      <c r="D484" s="19"/>
      <c r="E484" s="19"/>
      <c r="F484" s="19"/>
      <c r="G484" s="19"/>
      <c r="H484" s="19"/>
    </row>
    <row r="485" spans="1:8" ht="15.75" customHeight="1" x14ac:dyDescent="0.3">
      <c r="A485" s="19"/>
      <c r="B485" s="19"/>
      <c r="C485" s="19"/>
      <c r="D485" s="19"/>
      <c r="E485" s="19"/>
      <c r="F485" s="19"/>
      <c r="G485" s="19"/>
      <c r="H485" s="19"/>
    </row>
    <row r="486" spans="1:8" ht="15.75" customHeight="1" x14ac:dyDescent="0.3">
      <c r="A486" s="19"/>
      <c r="B486" s="19"/>
      <c r="C486" s="19"/>
      <c r="D486" s="19"/>
      <c r="E486" s="19"/>
      <c r="F486" s="19"/>
      <c r="G486" s="19"/>
      <c r="H486" s="19"/>
    </row>
    <row r="487" spans="1:8" ht="15.75" customHeight="1" x14ac:dyDescent="0.3">
      <c r="A487" s="19"/>
      <c r="B487" s="19"/>
      <c r="C487" s="19"/>
      <c r="D487" s="19"/>
      <c r="E487" s="19"/>
      <c r="F487" s="19"/>
      <c r="G487" s="19"/>
      <c r="H487" s="19"/>
    </row>
    <row r="488" spans="1:8" ht="15.75" customHeight="1" x14ac:dyDescent="0.3">
      <c r="A488" s="19"/>
      <c r="B488" s="19"/>
      <c r="C488" s="19"/>
      <c r="D488" s="19"/>
      <c r="E488" s="19"/>
      <c r="F488" s="19"/>
      <c r="G488" s="19"/>
      <c r="H488" s="19"/>
    </row>
    <row r="489" spans="1:8" ht="15.75" customHeight="1" x14ac:dyDescent="0.3">
      <c r="A489" s="19"/>
      <c r="B489" s="19"/>
      <c r="C489" s="19"/>
      <c r="D489" s="19"/>
      <c r="E489" s="19"/>
      <c r="F489" s="19"/>
      <c r="G489" s="19"/>
      <c r="H489" s="19"/>
    </row>
    <row r="490" spans="1:8" ht="15.75" customHeight="1" x14ac:dyDescent="0.3">
      <c r="A490" s="19"/>
      <c r="B490" s="19"/>
      <c r="C490" s="19"/>
      <c r="D490" s="19"/>
      <c r="E490" s="19"/>
      <c r="F490" s="19"/>
      <c r="G490" s="19"/>
      <c r="H490" s="19"/>
    </row>
    <row r="491" spans="1:8" ht="15.75" customHeight="1" x14ac:dyDescent="0.3">
      <c r="A491" s="19"/>
      <c r="B491" s="19"/>
      <c r="C491" s="19"/>
      <c r="D491" s="19"/>
      <c r="E491" s="19"/>
      <c r="F491" s="19"/>
      <c r="G491" s="19"/>
      <c r="H491" s="19"/>
    </row>
    <row r="492" spans="1:8" ht="15.75" customHeight="1" x14ac:dyDescent="0.3">
      <c r="A492" s="19"/>
      <c r="B492" s="19"/>
      <c r="C492" s="19"/>
      <c r="D492" s="19"/>
      <c r="E492" s="19"/>
      <c r="F492" s="19"/>
      <c r="G492" s="19"/>
      <c r="H492" s="19"/>
    </row>
    <row r="493" spans="1:8" ht="15.75" customHeight="1" x14ac:dyDescent="0.3">
      <c r="A493" s="19"/>
      <c r="B493" s="19"/>
      <c r="C493" s="19"/>
      <c r="D493" s="19"/>
      <c r="E493" s="19"/>
      <c r="F493" s="19"/>
      <c r="G493" s="19"/>
      <c r="H493" s="19"/>
    </row>
    <row r="494" spans="1:8" ht="15.75" customHeight="1" x14ac:dyDescent="0.3">
      <c r="A494" s="19"/>
      <c r="B494" s="19"/>
      <c r="C494" s="19"/>
      <c r="D494" s="19"/>
      <c r="E494" s="19"/>
      <c r="F494" s="19"/>
      <c r="G494" s="19"/>
      <c r="H494" s="19"/>
    </row>
    <row r="495" spans="1:8" ht="15.75" customHeight="1" x14ac:dyDescent="0.3">
      <c r="A495" s="19"/>
      <c r="B495" s="19"/>
      <c r="C495" s="19"/>
      <c r="D495" s="19"/>
      <c r="E495" s="19"/>
      <c r="F495" s="19"/>
      <c r="G495" s="19"/>
      <c r="H495" s="19"/>
    </row>
    <row r="496" spans="1:8" ht="15.75" customHeight="1" x14ac:dyDescent="0.3">
      <c r="A496" s="19"/>
      <c r="B496" s="19"/>
      <c r="C496" s="19"/>
      <c r="D496" s="19"/>
      <c r="E496" s="19"/>
      <c r="F496" s="19"/>
      <c r="G496" s="19"/>
      <c r="H496" s="19"/>
    </row>
    <row r="497" spans="1:8" ht="15.75" customHeight="1" x14ac:dyDescent="0.3">
      <c r="A497" s="19"/>
      <c r="B497" s="19"/>
      <c r="C497" s="19"/>
      <c r="D497" s="19"/>
      <c r="E497" s="19"/>
      <c r="F497" s="19"/>
      <c r="G497" s="19"/>
      <c r="H497" s="19"/>
    </row>
    <row r="498" spans="1:8" ht="15.75" customHeight="1" x14ac:dyDescent="0.3">
      <c r="A498" s="19"/>
      <c r="B498" s="19"/>
      <c r="C498" s="19"/>
      <c r="D498" s="19"/>
      <c r="E498" s="19"/>
      <c r="F498" s="19"/>
      <c r="G498" s="19"/>
      <c r="H498" s="19"/>
    </row>
    <row r="499" spans="1:8" ht="15.75" customHeight="1" x14ac:dyDescent="0.3">
      <c r="A499" s="19"/>
      <c r="B499" s="19"/>
      <c r="C499" s="19"/>
      <c r="D499" s="19"/>
      <c r="E499" s="19"/>
      <c r="F499" s="19"/>
      <c r="G499" s="19"/>
      <c r="H499" s="19"/>
    </row>
    <row r="500" spans="1:8" ht="15.75" customHeight="1" x14ac:dyDescent="0.3">
      <c r="A500" s="19"/>
      <c r="B500" s="19"/>
      <c r="C500" s="19"/>
      <c r="D500" s="19"/>
      <c r="E500" s="19"/>
      <c r="F500" s="19"/>
      <c r="G500" s="19"/>
      <c r="H500" s="19"/>
    </row>
    <row r="501" spans="1:8" ht="15.75" customHeight="1" x14ac:dyDescent="0.3">
      <c r="A501" s="19"/>
      <c r="B501" s="19"/>
      <c r="C501" s="19"/>
      <c r="D501" s="19"/>
      <c r="E501" s="19"/>
      <c r="F501" s="19"/>
      <c r="G501" s="19"/>
      <c r="H501" s="19"/>
    </row>
    <row r="502" spans="1:8" ht="15.75" customHeight="1" x14ac:dyDescent="0.3">
      <c r="A502" s="19"/>
      <c r="B502" s="19"/>
      <c r="C502" s="19"/>
      <c r="D502" s="19"/>
      <c r="E502" s="19"/>
      <c r="F502" s="19"/>
      <c r="G502" s="19"/>
      <c r="H502" s="19"/>
    </row>
    <row r="503" spans="1:8" ht="15.75" customHeight="1" x14ac:dyDescent="0.3">
      <c r="A503" s="19"/>
      <c r="B503" s="19"/>
      <c r="C503" s="19"/>
      <c r="D503" s="19"/>
      <c r="E503" s="19"/>
      <c r="F503" s="19"/>
      <c r="G503" s="19"/>
      <c r="H503" s="19"/>
    </row>
    <row r="504" spans="1:8" ht="15.75" customHeight="1" x14ac:dyDescent="0.3">
      <c r="A504" s="19"/>
      <c r="B504" s="19"/>
      <c r="C504" s="19"/>
      <c r="D504" s="19"/>
      <c r="E504" s="19"/>
      <c r="F504" s="19"/>
      <c r="G504" s="19"/>
      <c r="H504" s="19"/>
    </row>
    <row r="505" spans="1:8" ht="15.75" customHeight="1" x14ac:dyDescent="0.3">
      <c r="A505" s="19"/>
      <c r="B505" s="19"/>
      <c r="C505" s="19"/>
      <c r="D505" s="19"/>
      <c r="E505" s="19"/>
      <c r="F505" s="19"/>
      <c r="G505" s="19"/>
      <c r="H505" s="19"/>
    </row>
    <row r="506" spans="1:8" ht="15.75" customHeight="1" x14ac:dyDescent="0.3">
      <c r="A506" s="19"/>
      <c r="B506" s="19"/>
      <c r="C506" s="19"/>
      <c r="D506" s="19"/>
      <c r="E506" s="19"/>
      <c r="F506" s="19"/>
      <c r="G506" s="19"/>
      <c r="H506" s="19"/>
    </row>
    <row r="507" spans="1:8" ht="15.75" customHeight="1" x14ac:dyDescent="0.3">
      <c r="A507" s="19"/>
      <c r="B507" s="19"/>
      <c r="C507" s="19"/>
      <c r="D507" s="19"/>
      <c r="E507" s="19"/>
      <c r="F507" s="19"/>
      <c r="G507" s="19"/>
      <c r="H507" s="19"/>
    </row>
    <row r="508" spans="1:8" ht="15.75" customHeight="1" x14ac:dyDescent="0.3">
      <c r="A508" s="19"/>
      <c r="B508" s="19"/>
      <c r="C508" s="19"/>
      <c r="D508" s="19"/>
      <c r="E508" s="19"/>
      <c r="F508" s="19"/>
      <c r="G508" s="19"/>
      <c r="H508" s="19"/>
    </row>
    <row r="509" spans="1:8" ht="15.75" customHeight="1" x14ac:dyDescent="0.3">
      <c r="A509" s="19"/>
      <c r="B509" s="19"/>
      <c r="C509" s="19"/>
      <c r="D509" s="19"/>
      <c r="E509" s="19"/>
      <c r="F509" s="19"/>
      <c r="G509" s="19"/>
      <c r="H509" s="19"/>
    </row>
    <row r="510" spans="1:8" ht="15.75" customHeight="1" x14ac:dyDescent="0.3">
      <c r="A510" s="19"/>
      <c r="B510" s="19"/>
      <c r="C510" s="19"/>
      <c r="D510" s="19"/>
      <c r="E510" s="19"/>
      <c r="F510" s="19"/>
      <c r="G510" s="19"/>
      <c r="H510" s="19"/>
    </row>
    <row r="511" spans="1:8" ht="15.75" customHeight="1" x14ac:dyDescent="0.3">
      <c r="A511" s="19"/>
      <c r="B511" s="19"/>
      <c r="C511" s="19"/>
      <c r="D511" s="19"/>
      <c r="E511" s="19"/>
      <c r="F511" s="19"/>
      <c r="G511" s="19"/>
      <c r="H511" s="19"/>
    </row>
    <row r="512" spans="1:8" ht="15.75" customHeight="1" x14ac:dyDescent="0.3">
      <c r="A512" s="19"/>
      <c r="B512" s="19"/>
      <c r="C512" s="19"/>
      <c r="D512" s="19"/>
      <c r="E512" s="19"/>
      <c r="F512" s="19"/>
      <c r="G512" s="19"/>
      <c r="H512" s="19"/>
    </row>
    <row r="513" spans="1:8" ht="15.75" customHeight="1" x14ac:dyDescent="0.3">
      <c r="A513" s="19"/>
      <c r="B513" s="19"/>
      <c r="C513" s="19"/>
      <c r="D513" s="19"/>
      <c r="E513" s="19"/>
      <c r="F513" s="19"/>
      <c r="G513" s="19"/>
      <c r="H513" s="19"/>
    </row>
    <row r="514" spans="1:8" ht="15.75" customHeight="1" x14ac:dyDescent="0.3">
      <c r="A514" s="19"/>
      <c r="B514" s="19"/>
      <c r="C514" s="19"/>
      <c r="D514" s="19"/>
      <c r="E514" s="19"/>
      <c r="F514" s="19"/>
      <c r="G514" s="19"/>
      <c r="H514" s="19"/>
    </row>
    <row r="515" spans="1:8" ht="15.75" customHeight="1" x14ac:dyDescent="0.3">
      <c r="A515" s="19"/>
      <c r="B515" s="19"/>
      <c r="C515" s="19"/>
      <c r="D515" s="19"/>
      <c r="E515" s="19"/>
      <c r="F515" s="19"/>
      <c r="G515" s="19"/>
      <c r="H515" s="19"/>
    </row>
    <row r="516" spans="1:8" ht="15.75" customHeight="1" x14ac:dyDescent="0.3">
      <c r="A516" s="19"/>
      <c r="B516" s="19"/>
      <c r="C516" s="19"/>
      <c r="D516" s="19"/>
      <c r="E516" s="19"/>
      <c r="F516" s="19"/>
      <c r="G516" s="19"/>
      <c r="H516" s="19"/>
    </row>
    <row r="517" spans="1:8" ht="15.75" customHeight="1" x14ac:dyDescent="0.3">
      <c r="A517" s="19"/>
      <c r="B517" s="19"/>
      <c r="C517" s="19"/>
      <c r="D517" s="19"/>
      <c r="E517" s="19"/>
      <c r="F517" s="19"/>
      <c r="G517" s="19"/>
      <c r="H517" s="19"/>
    </row>
    <row r="518" spans="1:8" ht="15.75" customHeight="1" x14ac:dyDescent="0.3">
      <c r="A518" s="19"/>
      <c r="B518" s="19"/>
      <c r="C518" s="19"/>
      <c r="D518" s="19"/>
      <c r="E518" s="19"/>
      <c r="F518" s="19"/>
      <c r="G518" s="19"/>
      <c r="H518" s="19"/>
    </row>
    <row r="519" spans="1:8" ht="15.75" customHeight="1" x14ac:dyDescent="0.3">
      <c r="A519" s="19"/>
      <c r="B519" s="19"/>
      <c r="C519" s="19"/>
      <c r="D519" s="19"/>
      <c r="E519" s="19"/>
      <c r="F519" s="19"/>
      <c r="G519" s="19"/>
      <c r="H519" s="19"/>
    </row>
    <row r="520" spans="1:8" ht="15.75" customHeight="1" x14ac:dyDescent="0.3">
      <c r="A520" s="19"/>
      <c r="B520" s="19"/>
      <c r="C520" s="19"/>
      <c r="D520" s="19"/>
      <c r="E520" s="19"/>
      <c r="F520" s="19"/>
      <c r="G520" s="19"/>
      <c r="H520" s="19"/>
    </row>
    <row r="521" spans="1:8" ht="15.75" customHeight="1" x14ac:dyDescent="0.3">
      <c r="A521" s="19"/>
      <c r="B521" s="19"/>
      <c r="C521" s="19"/>
      <c r="D521" s="19"/>
      <c r="E521" s="19"/>
      <c r="F521" s="19"/>
      <c r="G521" s="19"/>
      <c r="H521" s="19"/>
    </row>
    <row r="522" spans="1:8" ht="15.75" customHeight="1" x14ac:dyDescent="0.3">
      <c r="A522" s="19"/>
      <c r="B522" s="19"/>
      <c r="C522" s="19"/>
      <c r="D522" s="19"/>
      <c r="E522" s="19"/>
      <c r="F522" s="19"/>
      <c r="G522" s="19"/>
      <c r="H522" s="19"/>
    </row>
    <row r="523" spans="1:8" ht="15.75" customHeight="1" x14ac:dyDescent="0.3">
      <c r="A523" s="19"/>
      <c r="B523" s="19"/>
      <c r="C523" s="19"/>
      <c r="D523" s="19"/>
      <c r="E523" s="19"/>
      <c r="F523" s="19"/>
      <c r="G523" s="19"/>
      <c r="H523" s="19"/>
    </row>
    <row r="524" spans="1:8" ht="15.75" customHeight="1" x14ac:dyDescent="0.3">
      <c r="A524" s="19"/>
      <c r="B524" s="19"/>
      <c r="C524" s="19"/>
      <c r="D524" s="19"/>
      <c r="E524" s="19"/>
      <c r="F524" s="19"/>
      <c r="G524" s="19"/>
      <c r="H524" s="19"/>
    </row>
    <row r="525" spans="1:8" ht="15.75" customHeight="1" x14ac:dyDescent="0.3">
      <c r="A525" s="19"/>
      <c r="B525" s="19"/>
      <c r="C525" s="19"/>
      <c r="D525" s="19"/>
      <c r="E525" s="19"/>
      <c r="F525" s="19"/>
      <c r="G525" s="19"/>
      <c r="H525" s="19"/>
    </row>
    <row r="526" spans="1:8" ht="15.75" customHeight="1" x14ac:dyDescent="0.3">
      <c r="A526" s="19"/>
      <c r="B526" s="19"/>
      <c r="C526" s="19"/>
      <c r="D526" s="19"/>
      <c r="E526" s="19"/>
      <c r="F526" s="19"/>
      <c r="G526" s="19"/>
      <c r="H526" s="19"/>
    </row>
    <row r="527" spans="1:8" ht="15.75" customHeight="1" x14ac:dyDescent="0.3">
      <c r="A527" s="19"/>
      <c r="B527" s="19"/>
      <c r="C527" s="19"/>
      <c r="D527" s="19"/>
      <c r="E527" s="19"/>
      <c r="F527" s="19"/>
      <c r="G527" s="19"/>
      <c r="H527" s="19"/>
    </row>
    <row r="528" spans="1:8" ht="15.75" customHeight="1" x14ac:dyDescent="0.3">
      <c r="A528" s="19"/>
      <c r="B528" s="19"/>
      <c r="C528" s="19"/>
      <c r="D528" s="19"/>
      <c r="E528" s="19"/>
      <c r="F528" s="19"/>
      <c r="G528" s="19"/>
      <c r="H528" s="19"/>
    </row>
    <row r="529" spans="1:8" ht="15.75" customHeight="1" x14ac:dyDescent="0.3">
      <c r="A529" s="19"/>
      <c r="B529" s="19"/>
      <c r="C529" s="19"/>
      <c r="D529" s="19"/>
      <c r="E529" s="19"/>
      <c r="F529" s="19"/>
      <c r="G529" s="19"/>
      <c r="H529" s="19"/>
    </row>
    <row r="530" spans="1:8" ht="15.75" customHeight="1" x14ac:dyDescent="0.3">
      <c r="A530" s="19"/>
      <c r="B530" s="19"/>
      <c r="C530" s="19"/>
      <c r="D530" s="19"/>
      <c r="E530" s="19"/>
      <c r="F530" s="19"/>
      <c r="G530" s="19"/>
      <c r="H530" s="19"/>
    </row>
    <row r="531" spans="1:8" ht="15.75" customHeight="1" x14ac:dyDescent="0.3">
      <c r="A531" s="19"/>
      <c r="B531" s="19"/>
      <c r="C531" s="19"/>
      <c r="D531" s="19"/>
      <c r="E531" s="19"/>
      <c r="F531" s="19"/>
      <c r="G531" s="19"/>
      <c r="H531" s="19"/>
    </row>
    <row r="532" spans="1:8" ht="15.75" customHeight="1" x14ac:dyDescent="0.3">
      <c r="A532" s="19"/>
      <c r="B532" s="19"/>
      <c r="C532" s="19"/>
      <c r="D532" s="19"/>
      <c r="E532" s="19"/>
      <c r="F532" s="19"/>
      <c r="G532" s="19"/>
      <c r="H532" s="19"/>
    </row>
    <row r="533" spans="1:8" ht="15.75" customHeight="1" x14ac:dyDescent="0.3">
      <c r="A533" s="19"/>
      <c r="B533" s="19"/>
      <c r="C533" s="19"/>
      <c r="D533" s="19"/>
      <c r="E533" s="19"/>
      <c r="F533" s="19"/>
      <c r="G533" s="19"/>
      <c r="H533" s="19"/>
    </row>
    <row r="534" spans="1:8" ht="15.75" customHeight="1" x14ac:dyDescent="0.3">
      <c r="A534" s="19"/>
      <c r="B534" s="19"/>
      <c r="C534" s="19"/>
      <c r="D534" s="19"/>
      <c r="E534" s="19"/>
      <c r="F534" s="19"/>
      <c r="G534" s="19"/>
      <c r="H534" s="19"/>
    </row>
    <row r="535" spans="1:8" ht="15.75" customHeight="1" x14ac:dyDescent="0.3">
      <c r="A535" s="19"/>
      <c r="B535" s="19"/>
      <c r="C535" s="19"/>
      <c r="D535" s="19"/>
      <c r="E535" s="19"/>
      <c r="F535" s="19"/>
      <c r="G535" s="19"/>
      <c r="H535" s="19"/>
    </row>
    <row r="536" spans="1:8" ht="15.75" customHeight="1" x14ac:dyDescent="0.3">
      <c r="A536" s="19"/>
      <c r="B536" s="19"/>
      <c r="C536" s="19"/>
      <c r="D536" s="19"/>
      <c r="E536" s="19"/>
      <c r="F536" s="19"/>
      <c r="G536" s="19"/>
      <c r="H536" s="19"/>
    </row>
    <row r="537" spans="1:8" ht="15.75" customHeight="1" x14ac:dyDescent="0.3">
      <c r="A537" s="19"/>
      <c r="B537" s="19"/>
      <c r="C537" s="19"/>
      <c r="D537" s="19"/>
      <c r="E537" s="19"/>
      <c r="F537" s="19"/>
      <c r="G537" s="19"/>
      <c r="H537" s="19"/>
    </row>
    <row r="538" spans="1:8" ht="15.75" customHeight="1" x14ac:dyDescent="0.3">
      <c r="A538" s="19"/>
      <c r="B538" s="19"/>
      <c r="C538" s="19"/>
      <c r="D538" s="19"/>
      <c r="E538" s="19"/>
      <c r="F538" s="19"/>
      <c r="G538" s="19"/>
      <c r="H538" s="19"/>
    </row>
    <row r="539" spans="1:8" ht="15.75" customHeight="1" x14ac:dyDescent="0.3">
      <c r="A539" s="19"/>
      <c r="B539" s="19"/>
      <c r="C539" s="19"/>
      <c r="D539" s="19"/>
      <c r="E539" s="19"/>
      <c r="F539" s="19"/>
      <c r="G539" s="19"/>
      <c r="H539" s="19"/>
    </row>
    <row r="540" spans="1:8" ht="15.75" customHeight="1" x14ac:dyDescent="0.3">
      <c r="A540" s="19"/>
      <c r="B540" s="19"/>
      <c r="C540" s="19"/>
      <c r="D540" s="19"/>
      <c r="E540" s="19"/>
      <c r="F540" s="19"/>
      <c r="G540" s="19"/>
      <c r="H540" s="19"/>
    </row>
    <row r="541" spans="1:8" ht="15.75" customHeight="1" x14ac:dyDescent="0.3">
      <c r="A541" s="19"/>
      <c r="B541" s="19"/>
      <c r="C541" s="19"/>
      <c r="D541" s="19"/>
      <c r="E541" s="19"/>
      <c r="F541" s="19"/>
      <c r="G541" s="19"/>
      <c r="H541" s="19"/>
    </row>
    <row r="542" spans="1:8" ht="15.75" customHeight="1" x14ac:dyDescent="0.3">
      <c r="A542" s="19"/>
      <c r="B542" s="19"/>
      <c r="C542" s="19"/>
      <c r="D542" s="19"/>
      <c r="E542" s="19"/>
      <c r="F542" s="19"/>
      <c r="G542" s="19"/>
      <c r="H542" s="19"/>
    </row>
    <row r="543" spans="1:8" ht="15.75" customHeight="1" x14ac:dyDescent="0.3">
      <c r="A543" s="19"/>
      <c r="B543" s="19"/>
      <c r="C543" s="19"/>
      <c r="D543" s="19"/>
      <c r="E543" s="19"/>
      <c r="F543" s="19"/>
      <c r="G543" s="19"/>
      <c r="H543" s="19"/>
    </row>
    <row r="544" spans="1:8" ht="15.75" customHeight="1" x14ac:dyDescent="0.3">
      <c r="A544" s="19"/>
      <c r="B544" s="19"/>
      <c r="C544" s="19"/>
      <c r="D544" s="19"/>
      <c r="E544" s="19"/>
      <c r="F544" s="19"/>
      <c r="G544" s="19"/>
      <c r="H544" s="19"/>
    </row>
    <row r="545" spans="1:8" ht="15.75" customHeight="1" x14ac:dyDescent="0.3">
      <c r="A545" s="19"/>
      <c r="B545" s="19"/>
      <c r="C545" s="19"/>
      <c r="D545" s="19"/>
      <c r="E545" s="19"/>
      <c r="F545" s="19"/>
      <c r="G545" s="19"/>
      <c r="H545" s="19"/>
    </row>
    <row r="546" spans="1:8" ht="15.75" customHeight="1" x14ac:dyDescent="0.3">
      <c r="A546" s="19"/>
      <c r="B546" s="19"/>
      <c r="C546" s="19"/>
      <c r="D546" s="19"/>
      <c r="E546" s="19"/>
      <c r="F546" s="19"/>
      <c r="G546" s="19"/>
      <c r="H546" s="19"/>
    </row>
    <row r="547" spans="1:8" ht="15.75" customHeight="1" x14ac:dyDescent="0.3">
      <c r="A547" s="19"/>
      <c r="B547" s="19"/>
      <c r="C547" s="19"/>
      <c r="D547" s="19"/>
      <c r="E547" s="19"/>
      <c r="F547" s="19"/>
      <c r="G547" s="19"/>
      <c r="H547" s="19"/>
    </row>
    <row r="548" spans="1:8" ht="15.75" customHeight="1" x14ac:dyDescent="0.3">
      <c r="A548" s="19"/>
      <c r="B548" s="19"/>
      <c r="C548" s="19"/>
      <c r="D548" s="19"/>
      <c r="E548" s="19"/>
      <c r="F548" s="19"/>
      <c r="G548" s="19"/>
      <c r="H548" s="19"/>
    </row>
    <row r="549" spans="1:8" ht="15.75" customHeight="1" x14ac:dyDescent="0.3">
      <c r="A549" s="19"/>
      <c r="B549" s="19"/>
      <c r="C549" s="19"/>
      <c r="D549" s="19"/>
      <c r="E549" s="19"/>
      <c r="F549" s="19"/>
      <c r="G549" s="19"/>
      <c r="H549" s="19"/>
    </row>
    <row r="550" spans="1:8" ht="15.75" customHeight="1" x14ac:dyDescent="0.3">
      <c r="A550" s="19"/>
      <c r="B550" s="19"/>
      <c r="C550" s="19"/>
      <c r="D550" s="19"/>
      <c r="E550" s="19"/>
      <c r="F550" s="19"/>
      <c r="G550" s="19"/>
      <c r="H550" s="19"/>
    </row>
    <row r="551" spans="1:8" ht="15.75" customHeight="1" x14ac:dyDescent="0.3">
      <c r="A551" s="19"/>
      <c r="B551" s="19"/>
      <c r="C551" s="19"/>
      <c r="D551" s="19"/>
      <c r="E551" s="19"/>
      <c r="F551" s="19"/>
      <c r="G551" s="19"/>
      <c r="H551" s="19"/>
    </row>
    <row r="552" spans="1:8" ht="15.75" customHeight="1" x14ac:dyDescent="0.3">
      <c r="A552" s="19"/>
      <c r="B552" s="19"/>
      <c r="C552" s="19"/>
      <c r="D552" s="19"/>
      <c r="E552" s="19"/>
      <c r="F552" s="19"/>
      <c r="G552" s="19"/>
      <c r="H552" s="19"/>
    </row>
    <row r="553" spans="1:8" ht="15.75" customHeight="1" x14ac:dyDescent="0.3">
      <c r="A553" s="19"/>
      <c r="B553" s="19"/>
      <c r="C553" s="19"/>
      <c r="D553" s="19"/>
      <c r="E553" s="19"/>
      <c r="F553" s="19"/>
      <c r="G553" s="19"/>
      <c r="H553" s="19"/>
    </row>
    <row r="554" spans="1:8" ht="15.75" customHeight="1" x14ac:dyDescent="0.3">
      <c r="A554" s="19"/>
      <c r="B554" s="19"/>
      <c r="C554" s="19"/>
      <c r="D554" s="19"/>
      <c r="E554" s="19"/>
      <c r="F554" s="19"/>
      <c r="G554" s="19"/>
      <c r="H554" s="19"/>
    </row>
    <row r="555" spans="1:8" ht="15.75" customHeight="1" x14ac:dyDescent="0.3">
      <c r="A555" s="19"/>
      <c r="B555" s="19"/>
      <c r="C555" s="19"/>
      <c r="D555" s="19"/>
      <c r="E555" s="19"/>
      <c r="F555" s="19"/>
      <c r="G555" s="19"/>
      <c r="H555" s="19"/>
    </row>
    <row r="556" spans="1:8" ht="15.75" customHeight="1" x14ac:dyDescent="0.3">
      <c r="A556" s="19"/>
      <c r="B556" s="19"/>
      <c r="C556" s="19"/>
      <c r="D556" s="19"/>
      <c r="E556" s="19"/>
      <c r="F556" s="19"/>
      <c r="G556" s="19"/>
      <c r="H556" s="19"/>
    </row>
    <row r="557" spans="1:8" ht="15.75" customHeight="1" x14ac:dyDescent="0.3">
      <c r="A557" s="19"/>
      <c r="B557" s="19"/>
      <c r="C557" s="19"/>
      <c r="D557" s="19"/>
      <c r="E557" s="19"/>
      <c r="F557" s="19"/>
      <c r="G557" s="19"/>
      <c r="H557" s="19"/>
    </row>
    <row r="558" spans="1:8" ht="15.75" customHeight="1" x14ac:dyDescent="0.3">
      <c r="A558" s="19"/>
      <c r="B558" s="19"/>
      <c r="C558" s="19"/>
      <c r="D558" s="19"/>
      <c r="E558" s="19"/>
      <c r="F558" s="19"/>
      <c r="G558" s="19"/>
      <c r="H558" s="19"/>
    </row>
    <row r="559" spans="1:8" ht="15.75" customHeight="1" x14ac:dyDescent="0.3">
      <c r="A559" s="19"/>
      <c r="B559" s="19"/>
      <c r="C559" s="19"/>
      <c r="D559" s="19"/>
      <c r="E559" s="19"/>
      <c r="F559" s="19"/>
      <c r="G559" s="19"/>
      <c r="H559" s="19"/>
    </row>
    <row r="560" spans="1:8" ht="15.75" customHeight="1" x14ac:dyDescent="0.3">
      <c r="A560" s="19"/>
      <c r="B560" s="19"/>
      <c r="C560" s="19"/>
      <c r="D560" s="19"/>
      <c r="E560" s="19"/>
      <c r="F560" s="19"/>
      <c r="G560" s="19"/>
      <c r="H560" s="19"/>
    </row>
    <row r="561" spans="1:8" ht="15.75" customHeight="1" x14ac:dyDescent="0.3">
      <c r="A561" s="19"/>
      <c r="B561" s="19"/>
      <c r="C561" s="19"/>
      <c r="D561" s="19"/>
      <c r="E561" s="19"/>
      <c r="F561" s="19"/>
      <c r="G561" s="19"/>
      <c r="H561" s="19"/>
    </row>
    <row r="562" spans="1:8" ht="15.75" customHeight="1" x14ac:dyDescent="0.3">
      <c r="A562" s="19"/>
      <c r="B562" s="19"/>
      <c r="C562" s="19"/>
      <c r="D562" s="19"/>
      <c r="E562" s="19"/>
      <c r="F562" s="19"/>
      <c r="G562" s="19"/>
      <c r="H562" s="19"/>
    </row>
    <row r="563" spans="1:8" ht="15.75" customHeight="1" x14ac:dyDescent="0.3">
      <c r="A563" s="19"/>
      <c r="B563" s="19"/>
      <c r="C563" s="19"/>
      <c r="D563" s="19"/>
      <c r="E563" s="19"/>
      <c r="F563" s="19"/>
      <c r="G563" s="19"/>
      <c r="H563" s="19"/>
    </row>
    <row r="564" spans="1:8" ht="15.75" customHeight="1" x14ac:dyDescent="0.3">
      <c r="A564" s="19"/>
      <c r="B564" s="19"/>
      <c r="C564" s="19"/>
      <c r="D564" s="19"/>
      <c r="E564" s="19"/>
      <c r="F564" s="19"/>
      <c r="G564" s="19"/>
      <c r="H564" s="19"/>
    </row>
    <row r="565" spans="1:8" ht="15.75" customHeight="1" x14ac:dyDescent="0.3">
      <c r="A565" s="19"/>
      <c r="B565" s="19"/>
      <c r="C565" s="19"/>
      <c r="D565" s="19"/>
      <c r="E565" s="19"/>
      <c r="F565" s="19"/>
      <c r="G565" s="19"/>
      <c r="H565" s="19"/>
    </row>
    <row r="566" spans="1:8" ht="15.75" customHeight="1" x14ac:dyDescent="0.3">
      <c r="A566" s="19"/>
      <c r="B566" s="19"/>
      <c r="C566" s="19"/>
      <c r="D566" s="19"/>
      <c r="E566" s="19"/>
      <c r="F566" s="19"/>
      <c r="G566" s="19"/>
      <c r="H566" s="19"/>
    </row>
    <row r="567" spans="1:8" ht="15.75" customHeight="1" x14ac:dyDescent="0.3">
      <c r="A567" s="19"/>
      <c r="B567" s="19"/>
      <c r="C567" s="19"/>
      <c r="D567" s="19"/>
      <c r="E567" s="19"/>
      <c r="F567" s="19"/>
      <c r="G567" s="19"/>
      <c r="H567" s="19"/>
    </row>
    <row r="568" spans="1:8" ht="15.75" customHeight="1" x14ac:dyDescent="0.3">
      <c r="A568" s="19"/>
      <c r="B568" s="19"/>
      <c r="C568" s="19"/>
      <c r="D568" s="19"/>
      <c r="E568" s="19"/>
      <c r="F568" s="19"/>
      <c r="G568" s="19"/>
      <c r="H568" s="19"/>
    </row>
    <row r="569" spans="1:8" ht="15.75" customHeight="1" x14ac:dyDescent="0.3">
      <c r="A569" s="19"/>
      <c r="B569" s="19"/>
      <c r="C569" s="19"/>
      <c r="D569" s="19"/>
      <c r="E569" s="19"/>
      <c r="F569" s="19"/>
      <c r="G569" s="19"/>
      <c r="H569" s="19"/>
    </row>
    <row r="570" spans="1:8" ht="15.75" customHeight="1" x14ac:dyDescent="0.3">
      <c r="A570" s="19"/>
      <c r="B570" s="19"/>
      <c r="C570" s="19"/>
      <c r="D570" s="19"/>
      <c r="E570" s="19"/>
      <c r="F570" s="19"/>
      <c r="G570" s="19"/>
      <c r="H570" s="19"/>
    </row>
    <row r="571" spans="1:8" ht="15.75" customHeight="1" x14ac:dyDescent="0.3">
      <c r="A571" s="19"/>
      <c r="B571" s="19"/>
      <c r="C571" s="19"/>
      <c r="D571" s="19"/>
      <c r="E571" s="19"/>
      <c r="F571" s="19"/>
      <c r="G571" s="19"/>
      <c r="H571" s="19"/>
    </row>
    <row r="572" spans="1:8" ht="15.75" customHeight="1" x14ac:dyDescent="0.3">
      <c r="A572" s="19"/>
      <c r="B572" s="19"/>
      <c r="C572" s="19"/>
      <c r="D572" s="19"/>
      <c r="E572" s="19"/>
      <c r="F572" s="19"/>
      <c r="G572" s="19"/>
      <c r="H572" s="19"/>
    </row>
    <row r="573" spans="1:8" ht="15.75" customHeight="1" x14ac:dyDescent="0.3">
      <c r="A573" s="19"/>
      <c r="B573" s="19"/>
      <c r="C573" s="19"/>
      <c r="D573" s="19"/>
      <c r="E573" s="19"/>
      <c r="F573" s="19"/>
      <c r="G573" s="19"/>
      <c r="H573" s="19"/>
    </row>
    <row r="574" spans="1:8" ht="15.75" customHeight="1" x14ac:dyDescent="0.3">
      <c r="A574" s="19"/>
      <c r="B574" s="19"/>
      <c r="C574" s="19"/>
      <c r="D574" s="19"/>
      <c r="E574" s="19"/>
      <c r="F574" s="19"/>
      <c r="G574" s="19"/>
      <c r="H574" s="19"/>
    </row>
    <row r="575" spans="1:8" ht="15.75" customHeight="1" x14ac:dyDescent="0.3">
      <c r="A575" s="19"/>
      <c r="B575" s="19"/>
      <c r="C575" s="19"/>
      <c r="D575" s="19"/>
      <c r="E575" s="19"/>
      <c r="F575" s="19"/>
      <c r="G575" s="19"/>
      <c r="H575" s="19"/>
    </row>
    <row r="576" spans="1:8" ht="15.75" customHeight="1" x14ac:dyDescent="0.3">
      <c r="A576" s="19"/>
      <c r="B576" s="19"/>
      <c r="C576" s="19"/>
      <c r="D576" s="19"/>
      <c r="E576" s="19"/>
      <c r="F576" s="19"/>
      <c r="G576" s="19"/>
      <c r="H576" s="19"/>
    </row>
    <row r="577" spans="1:8" ht="15.75" customHeight="1" x14ac:dyDescent="0.3">
      <c r="A577" s="19"/>
      <c r="B577" s="19"/>
      <c r="C577" s="19"/>
      <c r="D577" s="19"/>
      <c r="E577" s="19"/>
      <c r="F577" s="19"/>
      <c r="G577" s="19"/>
      <c r="H577" s="19"/>
    </row>
    <row r="578" spans="1:8" ht="15.75" customHeight="1" x14ac:dyDescent="0.3">
      <c r="A578" s="19"/>
      <c r="B578" s="19"/>
      <c r="C578" s="19"/>
      <c r="D578" s="19"/>
      <c r="E578" s="19"/>
      <c r="F578" s="19"/>
      <c r="G578" s="19"/>
      <c r="H578" s="19"/>
    </row>
    <row r="579" spans="1:8" ht="15.75" customHeight="1" x14ac:dyDescent="0.3">
      <c r="A579" s="19"/>
      <c r="B579" s="19"/>
      <c r="C579" s="19"/>
      <c r="D579" s="19"/>
      <c r="E579" s="19"/>
      <c r="F579" s="19"/>
      <c r="G579" s="19"/>
      <c r="H579" s="19"/>
    </row>
    <row r="580" spans="1:8" ht="15.75" customHeight="1" x14ac:dyDescent="0.3">
      <c r="A580" s="19"/>
      <c r="B580" s="19"/>
      <c r="C580" s="19"/>
      <c r="D580" s="19"/>
      <c r="E580" s="19"/>
      <c r="F580" s="19"/>
      <c r="G580" s="19"/>
      <c r="H580" s="19"/>
    </row>
    <row r="581" spans="1:8" ht="15.75" customHeight="1" x14ac:dyDescent="0.3">
      <c r="A581" s="19"/>
      <c r="B581" s="19"/>
      <c r="C581" s="19"/>
      <c r="D581" s="19"/>
      <c r="E581" s="19"/>
      <c r="F581" s="19"/>
      <c r="G581" s="19"/>
      <c r="H581" s="19"/>
    </row>
    <row r="582" spans="1:8" ht="15.75" customHeight="1" x14ac:dyDescent="0.3">
      <c r="A582" s="19"/>
      <c r="B582" s="19"/>
      <c r="C582" s="19"/>
      <c r="D582" s="19"/>
      <c r="E582" s="19"/>
      <c r="F582" s="19"/>
      <c r="G582" s="19"/>
      <c r="H582" s="19"/>
    </row>
    <row r="583" spans="1:8" ht="15.75" customHeight="1" x14ac:dyDescent="0.3">
      <c r="A583" s="19"/>
      <c r="B583" s="19"/>
      <c r="C583" s="19"/>
      <c r="D583" s="19"/>
      <c r="E583" s="19"/>
      <c r="F583" s="19"/>
      <c r="G583" s="19"/>
      <c r="H583" s="19"/>
    </row>
    <row r="584" spans="1:8" ht="15.75" customHeight="1" x14ac:dyDescent="0.3">
      <c r="A584" s="19"/>
      <c r="B584" s="19"/>
      <c r="C584" s="19"/>
      <c r="D584" s="19"/>
      <c r="E584" s="19"/>
      <c r="F584" s="19"/>
      <c r="G584" s="19"/>
      <c r="H584" s="19"/>
    </row>
    <row r="585" spans="1:8" ht="15.75" customHeight="1" x14ac:dyDescent="0.3">
      <c r="A585" s="19"/>
      <c r="B585" s="19"/>
      <c r="C585" s="19"/>
      <c r="D585" s="19"/>
      <c r="E585" s="19"/>
      <c r="F585" s="19"/>
      <c r="G585" s="19"/>
      <c r="H585" s="19"/>
    </row>
    <row r="586" spans="1:8" ht="15.75" customHeight="1" x14ac:dyDescent="0.3">
      <c r="A586" s="19"/>
      <c r="B586" s="19"/>
      <c r="C586" s="19"/>
      <c r="D586" s="19"/>
      <c r="E586" s="19"/>
      <c r="F586" s="19"/>
      <c r="G586" s="19"/>
      <c r="H586" s="19"/>
    </row>
    <row r="587" spans="1:8" ht="15.75" customHeight="1" x14ac:dyDescent="0.3">
      <c r="A587" s="19"/>
      <c r="B587" s="19"/>
      <c r="C587" s="19"/>
      <c r="D587" s="19"/>
      <c r="E587" s="19"/>
      <c r="F587" s="19"/>
      <c r="G587" s="19"/>
      <c r="H587" s="19"/>
    </row>
    <row r="588" spans="1:8" ht="15.75" customHeight="1" x14ac:dyDescent="0.3">
      <c r="A588" s="19"/>
      <c r="B588" s="19"/>
      <c r="C588" s="19"/>
      <c r="D588" s="19"/>
      <c r="E588" s="19"/>
      <c r="F588" s="19"/>
      <c r="G588" s="19"/>
      <c r="H588" s="19"/>
    </row>
    <row r="589" spans="1:8" ht="15.75" customHeight="1" x14ac:dyDescent="0.3">
      <c r="A589" s="19"/>
      <c r="B589" s="19"/>
      <c r="C589" s="19"/>
      <c r="D589" s="19"/>
      <c r="E589" s="19"/>
      <c r="F589" s="19"/>
      <c r="G589" s="19"/>
      <c r="H589" s="19"/>
    </row>
    <row r="590" spans="1:8" ht="15.75" customHeight="1" x14ac:dyDescent="0.3">
      <c r="A590" s="19"/>
      <c r="B590" s="19"/>
      <c r="C590" s="19"/>
      <c r="D590" s="19"/>
      <c r="E590" s="19"/>
      <c r="F590" s="19"/>
      <c r="G590" s="19"/>
      <c r="H590" s="19"/>
    </row>
    <row r="591" spans="1:8" ht="15.75" customHeight="1" x14ac:dyDescent="0.3">
      <c r="A591" s="19"/>
      <c r="B591" s="19"/>
      <c r="C591" s="19"/>
      <c r="D591" s="19"/>
      <c r="E591" s="19"/>
      <c r="F591" s="19"/>
      <c r="G591" s="19"/>
      <c r="H591" s="19"/>
    </row>
    <row r="592" spans="1:8" ht="15.75" customHeight="1" x14ac:dyDescent="0.3">
      <c r="A592" s="19"/>
      <c r="B592" s="19"/>
      <c r="C592" s="19"/>
      <c r="D592" s="19"/>
      <c r="E592" s="19"/>
      <c r="F592" s="19"/>
      <c r="G592" s="19"/>
      <c r="H592" s="19"/>
    </row>
    <row r="593" spans="1:8" ht="15.75" customHeight="1" x14ac:dyDescent="0.3">
      <c r="A593" s="19"/>
      <c r="B593" s="19"/>
      <c r="C593" s="19"/>
      <c r="D593" s="19"/>
      <c r="E593" s="19"/>
      <c r="F593" s="19"/>
      <c r="G593" s="19"/>
      <c r="H593" s="19"/>
    </row>
    <row r="594" spans="1:8" ht="15.75" customHeight="1" x14ac:dyDescent="0.3">
      <c r="A594" s="19"/>
      <c r="B594" s="19"/>
      <c r="C594" s="19"/>
      <c r="D594" s="19"/>
      <c r="E594" s="19"/>
      <c r="F594" s="19"/>
      <c r="G594" s="19"/>
      <c r="H594" s="19"/>
    </row>
    <row r="595" spans="1:8" ht="15.75" customHeight="1" x14ac:dyDescent="0.3">
      <c r="A595" s="19"/>
      <c r="B595" s="19"/>
      <c r="C595" s="19"/>
      <c r="D595" s="19"/>
      <c r="E595" s="19"/>
      <c r="F595" s="19"/>
      <c r="G595" s="19"/>
      <c r="H595" s="19"/>
    </row>
    <row r="596" spans="1:8" ht="15.75" customHeight="1" x14ac:dyDescent="0.3">
      <c r="A596" s="19"/>
      <c r="B596" s="19"/>
      <c r="C596" s="19"/>
      <c r="D596" s="19"/>
      <c r="E596" s="19"/>
      <c r="F596" s="19"/>
      <c r="G596" s="19"/>
      <c r="H596" s="19"/>
    </row>
    <row r="597" spans="1:8" ht="15.75" customHeight="1" x14ac:dyDescent="0.3">
      <c r="A597" s="19"/>
      <c r="B597" s="19"/>
      <c r="C597" s="19"/>
      <c r="D597" s="19"/>
      <c r="E597" s="19"/>
      <c r="F597" s="19"/>
      <c r="G597" s="19"/>
      <c r="H597" s="19"/>
    </row>
    <row r="598" spans="1:8" ht="15.75" customHeight="1" x14ac:dyDescent="0.3">
      <c r="A598" s="19"/>
      <c r="B598" s="19"/>
      <c r="C598" s="19"/>
      <c r="D598" s="19"/>
      <c r="E598" s="19"/>
      <c r="F598" s="19"/>
      <c r="G598" s="19"/>
      <c r="H598" s="19"/>
    </row>
    <row r="599" spans="1:8" ht="15.75" customHeight="1" x14ac:dyDescent="0.3">
      <c r="A599" s="19"/>
      <c r="B599" s="19"/>
      <c r="C599" s="19"/>
      <c r="D599" s="19"/>
      <c r="E599" s="19"/>
      <c r="F599" s="19"/>
      <c r="G599" s="19"/>
      <c r="H599" s="19"/>
    </row>
    <row r="600" spans="1:8" ht="15.75" customHeight="1" x14ac:dyDescent="0.3">
      <c r="A600" s="19"/>
      <c r="B600" s="19"/>
      <c r="C600" s="19"/>
      <c r="D600" s="19"/>
      <c r="E600" s="19"/>
      <c r="F600" s="19"/>
      <c r="G600" s="19"/>
      <c r="H600" s="19"/>
    </row>
    <row r="601" spans="1:8" ht="15.75" customHeight="1" x14ac:dyDescent="0.3">
      <c r="A601" s="19"/>
      <c r="B601" s="19"/>
      <c r="C601" s="19"/>
      <c r="D601" s="19"/>
      <c r="E601" s="19"/>
      <c r="F601" s="19"/>
      <c r="G601" s="19"/>
      <c r="H601" s="19"/>
    </row>
    <row r="602" spans="1:8" ht="15.75" customHeight="1" x14ac:dyDescent="0.3">
      <c r="A602" s="19"/>
      <c r="B602" s="19"/>
      <c r="C602" s="19"/>
      <c r="D602" s="19"/>
      <c r="E602" s="19"/>
      <c r="F602" s="19"/>
      <c r="G602" s="19"/>
      <c r="H602" s="19"/>
    </row>
    <row r="603" spans="1:8" ht="15.75" customHeight="1" x14ac:dyDescent="0.3">
      <c r="A603" s="19"/>
      <c r="B603" s="19"/>
      <c r="C603" s="19"/>
      <c r="D603" s="19"/>
      <c r="E603" s="19"/>
      <c r="F603" s="19"/>
      <c r="G603" s="19"/>
      <c r="H603" s="19"/>
    </row>
    <row r="604" spans="1:8" ht="15.75" customHeight="1" x14ac:dyDescent="0.3">
      <c r="A604" s="19"/>
      <c r="B604" s="19"/>
      <c r="C604" s="19"/>
      <c r="D604" s="19"/>
      <c r="E604" s="19"/>
      <c r="F604" s="19"/>
      <c r="G604" s="19"/>
      <c r="H604" s="19"/>
    </row>
    <row r="605" spans="1:8" ht="15.75" customHeight="1" x14ac:dyDescent="0.3">
      <c r="A605" s="19"/>
      <c r="B605" s="19"/>
      <c r="C605" s="19"/>
      <c r="D605" s="19"/>
      <c r="E605" s="19"/>
      <c r="F605" s="19"/>
      <c r="G605" s="19"/>
      <c r="H605" s="19"/>
    </row>
    <row r="606" spans="1:8" ht="15.75" customHeight="1" x14ac:dyDescent="0.3">
      <c r="A606" s="19"/>
      <c r="B606" s="19"/>
      <c r="C606" s="19"/>
      <c r="D606" s="19"/>
      <c r="E606" s="19"/>
      <c r="F606" s="19"/>
      <c r="G606" s="19"/>
      <c r="H606" s="19"/>
    </row>
    <row r="607" spans="1:8" ht="15.75" customHeight="1" x14ac:dyDescent="0.3">
      <c r="A607" s="19"/>
      <c r="B607" s="19"/>
      <c r="C607" s="19"/>
      <c r="D607" s="19"/>
      <c r="E607" s="19"/>
      <c r="F607" s="19"/>
      <c r="G607" s="19"/>
      <c r="H607" s="19"/>
    </row>
    <row r="608" spans="1:8" ht="15.75" customHeight="1" x14ac:dyDescent="0.3">
      <c r="A608" s="19"/>
      <c r="B608" s="19"/>
      <c r="C608" s="19"/>
      <c r="D608" s="19"/>
      <c r="E608" s="19"/>
      <c r="F608" s="19"/>
      <c r="G608" s="19"/>
      <c r="H608" s="19"/>
    </row>
    <row r="609" spans="1:8" ht="15.75" customHeight="1" x14ac:dyDescent="0.3">
      <c r="A609" s="19"/>
      <c r="B609" s="19"/>
      <c r="C609" s="19"/>
      <c r="D609" s="19"/>
      <c r="E609" s="19"/>
      <c r="F609" s="19"/>
      <c r="G609" s="19"/>
      <c r="H609" s="19"/>
    </row>
    <row r="610" spans="1:8" ht="15.75" customHeight="1" x14ac:dyDescent="0.3">
      <c r="A610" s="19"/>
      <c r="B610" s="19"/>
      <c r="C610" s="19"/>
      <c r="D610" s="19"/>
      <c r="E610" s="19"/>
      <c r="F610" s="19"/>
      <c r="G610" s="19"/>
      <c r="H610" s="19"/>
    </row>
    <row r="611" spans="1:8" ht="15.75" customHeight="1" x14ac:dyDescent="0.3">
      <c r="A611" s="19"/>
      <c r="B611" s="19"/>
      <c r="C611" s="19"/>
      <c r="D611" s="19"/>
      <c r="E611" s="19"/>
      <c r="F611" s="19"/>
      <c r="G611" s="19"/>
      <c r="H611" s="19"/>
    </row>
    <row r="612" spans="1:8" ht="15.75" customHeight="1" x14ac:dyDescent="0.3">
      <c r="A612" s="19"/>
      <c r="B612" s="19"/>
      <c r="C612" s="19"/>
      <c r="D612" s="19"/>
      <c r="E612" s="19"/>
      <c r="F612" s="19"/>
      <c r="G612" s="19"/>
      <c r="H612" s="19"/>
    </row>
    <row r="613" spans="1:8" ht="15.75" customHeight="1" x14ac:dyDescent="0.3">
      <c r="A613" s="19"/>
      <c r="B613" s="19"/>
      <c r="C613" s="19"/>
      <c r="D613" s="19"/>
      <c r="E613" s="19"/>
      <c r="F613" s="19"/>
      <c r="G613" s="19"/>
      <c r="H613" s="19"/>
    </row>
    <row r="614" spans="1:8" ht="15.75" customHeight="1" x14ac:dyDescent="0.3">
      <c r="A614" s="19"/>
      <c r="B614" s="19"/>
      <c r="C614" s="19"/>
      <c r="D614" s="19"/>
      <c r="E614" s="19"/>
      <c r="F614" s="19"/>
      <c r="G614" s="19"/>
      <c r="H614" s="19"/>
    </row>
    <row r="615" spans="1:8" ht="15.75" customHeight="1" x14ac:dyDescent="0.3">
      <c r="A615" s="19"/>
      <c r="B615" s="19"/>
      <c r="C615" s="19"/>
      <c r="D615" s="19"/>
      <c r="E615" s="19"/>
      <c r="F615" s="19"/>
      <c r="G615" s="19"/>
      <c r="H615" s="19"/>
    </row>
    <row r="616" spans="1:8" ht="15.75" customHeight="1" x14ac:dyDescent="0.3">
      <c r="A616" s="19"/>
      <c r="B616" s="19"/>
      <c r="C616" s="19"/>
      <c r="D616" s="19"/>
      <c r="E616" s="19"/>
      <c r="F616" s="19"/>
      <c r="G616" s="19"/>
      <c r="H616" s="19"/>
    </row>
    <row r="617" spans="1:8" ht="15.75" customHeight="1" x14ac:dyDescent="0.3">
      <c r="A617" s="19"/>
      <c r="B617" s="19"/>
      <c r="C617" s="19"/>
      <c r="D617" s="19"/>
      <c r="E617" s="19"/>
      <c r="F617" s="19"/>
      <c r="G617" s="19"/>
      <c r="H617" s="19"/>
    </row>
    <row r="618" spans="1:8" ht="15.75" customHeight="1" x14ac:dyDescent="0.3">
      <c r="A618" s="19"/>
      <c r="B618" s="19"/>
      <c r="C618" s="19"/>
      <c r="D618" s="19"/>
      <c r="E618" s="19"/>
      <c r="F618" s="19"/>
      <c r="G618" s="19"/>
      <c r="H618" s="19"/>
    </row>
    <row r="619" spans="1:8" ht="15.75" customHeight="1" x14ac:dyDescent="0.3">
      <c r="A619" s="19"/>
      <c r="B619" s="19"/>
      <c r="C619" s="19"/>
      <c r="D619" s="19"/>
      <c r="E619" s="19"/>
      <c r="F619" s="19"/>
      <c r="G619" s="19"/>
      <c r="H619" s="19"/>
    </row>
    <row r="620" spans="1:8" ht="15.75" customHeight="1" x14ac:dyDescent="0.3">
      <c r="A620" s="19"/>
      <c r="B620" s="19"/>
      <c r="C620" s="19"/>
      <c r="D620" s="19"/>
      <c r="E620" s="19"/>
      <c r="F620" s="19"/>
      <c r="G620" s="19"/>
      <c r="H620" s="19"/>
    </row>
    <row r="621" spans="1:8" ht="15.75" customHeight="1" x14ac:dyDescent="0.3">
      <c r="A621" s="19"/>
      <c r="B621" s="19"/>
      <c r="C621" s="19"/>
      <c r="D621" s="19"/>
      <c r="E621" s="19"/>
      <c r="F621" s="19"/>
      <c r="G621" s="19"/>
      <c r="H621" s="19"/>
    </row>
    <row r="622" spans="1:8" ht="15.75" customHeight="1" x14ac:dyDescent="0.3">
      <c r="A622" s="19"/>
      <c r="B622" s="19"/>
      <c r="C622" s="19"/>
      <c r="D622" s="19"/>
      <c r="E622" s="19"/>
      <c r="F622" s="19"/>
      <c r="G622" s="19"/>
      <c r="H622" s="19"/>
    </row>
    <row r="623" spans="1:8" ht="15.75" customHeight="1" x14ac:dyDescent="0.3">
      <c r="A623" s="19"/>
      <c r="B623" s="19"/>
      <c r="C623" s="19"/>
      <c r="D623" s="19"/>
      <c r="E623" s="19"/>
      <c r="F623" s="19"/>
      <c r="G623" s="19"/>
      <c r="H623" s="19"/>
    </row>
    <row r="624" spans="1:8" ht="15.75" customHeight="1" x14ac:dyDescent="0.3">
      <c r="A624" s="19"/>
      <c r="B624" s="19"/>
      <c r="C624" s="19"/>
      <c r="D624" s="19"/>
      <c r="E624" s="19"/>
      <c r="F624" s="19"/>
      <c r="G624" s="19"/>
      <c r="H624" s="19"/>
    </row>
    <row r="625" spans="1:8" ht="15.75" customHeight="1" x14ac:dyDescent="0.3">
      <c r="A625" s="19"/>
      <c r="B625" s="19"/>
      <c r="C625" s="19"/>
      <c r="D625" s="19"/>
      <c r="E625" s="19"/>
      <c r="F625" s="19"/>
      <c r="G625" s="19"/>
      <c r="H625" s="19"/>
    </row>
    <row r="626" spans="1:8" ht="15.75" customHeight="1" x14ac:dyDescent="0.3">
      <c r="A626" s="19"/>
      <c r="B626" s="19"/>
      <c r="C626" s="19"/>
      <c r="D626" s="19"/>
      <c r="E626" s="19"/>
      <c r="F626" s="19"/>
      <c r="G626" s="19"/>
      <c r="H626" s="19"/>
    </row>
    <row r="627" spans="1:8" ht="15.75" customHeight="1" x14ac:dyDescent="0.3">
      <c r="A627" s="19"/>
      <c r="B627" s="19"/>
      <c r="C627" s="19"/>
      <c r="D627" s="19"/>
      <c r="E627" s="19"/>
      <c r="F627" s="19"/>
      <c r="G627" s="19"/>
      <c r="H627" s="19"/>
    </row>
    <row r="628" spans="1:8" ht="15.75" customHeight="1" x14ac:dyDescent="0.3">
      <c r="A628" s="19"/>
      <c r="B628" s="19"/>
      <c r="C628" s="19"/>
      <c r="D628" s="19"/>
      <c r="E628" s="19"/>
      <c r="F628" s="19"/>
      <c r="G628" s="19"/>
      <c r="H628" s="19"/>
    </row>
    <row r="629" spans="1:8" ht="15.75" customHeight="1" x14ac:dyDescent="0.3">
      <c r="A629" s="19"/>
      <c r="B629" s="19"/>
      <c r="C629" s="19"/>
      <c r="D629" s="19"/>
      <c r="E629" s="19"/>
      <c r="F629" s="19"/>
      <c r="G629" s="19"/>
      <c r="H629" s="19"/>
    </row>
    <row r="630" spans="1:8" ht="15.75" customHeight="1" x14ac:dyDescent="0.3">
      <c r="A630" s="19"/>
      <c r="B630" s="19"/>
      <c r="C630" s="19"/>
      <c r="D630" s="19"/>
      <c r="E630" s="19"/>
      <c r="F630" s="19"/>
      <c r="G630" s="19"/>
      <c r="H630" s="19"/>
    </row>
    <row r="631" spans="1:8" ht="15.75" customHeight="1" x14ac:dyDescent="0.3">
      <c r="A631" s="19"/>
      <c r="B631" s="19"/>
      <c r="C631" s="19"/>
      <c r="D631" s="19"/>
      <c r="E631" s="19"/>
      <c r="F631" s="19"/>
      <c r="G631" s="19"/>
      <c r="H631" s="19"/>
    </row>
    <row r="632" spans="1:8" ht="15.75" customHeight="1" x14ac:dyDescent="0.3">
      <c r="A632" s="19"/>
      <c r="B632" s="19"/>
      <c r="C632" s="19"/>
      <c r="D632" s="19"/>
      <c r="E632" s="19"/>
      <c r="F632" s="19"/>
      <c r="G632" s="19"/>
      <c r="H632" s="19"/>
    </row>
    <row r="633" spans="1:8" ht="15.75" customHeight="1" x14ac:dyDescent="0.3">
      <c r="A633" s="19"/>
      <c r="B633" s="19"/>
      <c r="C633" s="19"/>
      <c r="D633" s="19"/>
      <c r="E633" s="19"/>
      <c r="F633" s="19"/>
      <c r="G633" s="19"/>
      <c r="H633" s="19"/>
    </row>
    <row r="634" spans="1:8" ht="15.75" customHeight="1" x14ac:dyDescent="0.3">
      <c r="A634" s="19"/>
      <c r="B634" s="19"/>
      <c r="C634" s="19"/>
      <c r="D634" s="19"/>
      <c r="E634" s="19"/>
      <c r="F634" s="19"/>
      <c r="G634" s="19"/>
      <c r="H634" s="19"/>
    </row>
    <row r="635" spans="1:8" ht="15.75" customHeight="1" x14ac:dyDescent="0.3">
      <c r="A635" s="19"/>
      <c r="B635" s="19"/>
      <c r="C635" s="19"/>
      <c r="D635" s="19"/>
      <c r="E635" s="19"/>
      <c r="F635" s="19"/>
      <c r="G635" s="19"/>
      <c r="H635" s="19"/>
    </row>
    <row r="636" spans="1:8" ht="15.75" customHeight="1" x14ac:dyDescent="0.3">
      <c r="A636" s="19"/>
      <c r="B636" s="19"/>
      <c r="C636" s="19"/>
      <c r="D636" s="19"/>
      <c r="E636" s="19"/>
      <c r="F636" s="19"/>
      <c r="G636" s="19"/>
      <c r="H636" s="19"/>
    </row>
    <row r="637" spans="1:8" ht="15.75" customHeight="1" x14ac:dyDescent="0.3">
      <c r="A637" s="19"/>
      <c r="B637" s="19"/>
      <c r="C637" s="19"/>
      <c r="D637" s="19"/>
      <c r="E637" s="19"/>
      <c r="F637" s="19"/>
      <c r="G637" s="19"/>
      <c r="H637" s="19"/>
    </row>
    <row r="638" spans="1:8" ht="15.75" customHeight="1" x14ac:dyDescent="0.3">
      <c r="A638" s="19"/>
      <c r="B638" s="19"/>
      <c r="C638" s="19"/>
      <c r="D638" s="19"/>
      <c r="E638" s="19"/>
      <c r="F638" s="19"/>
      <c r="G638" s="19"/>
      <c r="H638" s="19"/>
    </row>
    <row r="639" spans="1:8" ht="15.75" customHeight="1" x14ac:dyDescent="0.3">
      <c r="A639" s="19"/>
      <c r="B639" s="19"/>
      <c r="C639" s="19"/>
      <c r="D639" s="19"/>
      <c r="E639" s="19"/>
      <c r="F639" s="19"/>
      <c r="G639" s="19"/>
      <c r="H639" s="19"/>
    </row>
    <row r="640" spans="1:8" ht="15.75" customHeight="1" x14ac:dyDescent="0.3">
      <c r="A640" s="19"/>
      <c r="B640" s="19"/>
      <c r="C640" s="19"/>
      <c r="D640" s="19"/>
      <c r="E640" s="19"/>
      <c r="F640" s="19"/>
      <c r="G640" s="19"/>
      <c r="H640" s="19"/>
    </row>
    <row r="641" spans="1:8" ht="15.75" customHeight="1" x14ac:dyDescent="0.3">
      <c r="A641" s="19"/>
      <c r="B641" s="19"/>
      <c r="C641" s="19"/>
      <c r="D641" s="19"/>
      <c r="E641" s="19"/>
      <c r="F641" s="19"/>
      <c r="G641" s="19"/>
      <c r="H641" s="19"/>
    </row>
    <row r="642" spans="1:8" ht="15.75" customHeight="1" x14ac:dyDescent="0.3">
      <c r="A642" s="19"/>
      <c r="B642" s="19"/>
      <c r="C642" s="19"/>
      <c r="D642" s="19"/>
      <c r="E642" s="19"/>
      <c r="F642" s="19"/>
      <c r="G642" s="19"/>
      <c r="H642" s="19"/>
    </row>
    <row r="643" spans="1:8" ht="15.75" customHeight="1" x14ac:dyDescent="0.3">
      <c r="A643" s="19"/>
      <c r="B643" s="19"/>
      <c r="C643" s="19"/>
      <c r="D643" s="19"/>
      <c r="E643" s="19"/>
      <c r="F643" s="19"/>
      <c r="G643" s="19"/>
      <c r="H643" s="19"/>
    </row>
    <row r="644" spans="1:8" ht="15.75" customHeight="1" x14ac:dyDescent="0.3">
      <c r="A644" s="19"/>
      <c r="B644" s="19"/>
      <c r="C644" s="19"/>
      <c r="D644" s="19"/>
      <c r="E644" s="19"/>
      <c r="F644" s="19"/>
      <c r="G644" s="19"/>
      <c r="H644" s="19"/>
    </row>
    <row r="645" spans="1:8" ht="15.75" customHeight="1" x14ac:dyDescent="0.3">
      <c r="A645" s="19"/>
      <c r="B645" s="19"/>
      <c r="C645" s="19"/>
      <c r="D645" s="19"/>
      <c r="E645" s="19"/>
      <c r="F645" s="19"/>
      <c r="G645" s="19"/>
      <c r="H645" s="19"/>
    </row>
    <row r="646" spans="1:8" ht="15.75" customHeight="1" x14ac:dyDescent="0.3">
      <c r="A646" s="19"/>
      <c r="B646" s="19"/>
      <c r="C646" s="19"/>
      <c r="D646" s="19"/>
      <c r="E646" s="19"/>
      <c r="F646" s="19"/>
      <c r="G646" s="19"/>
      <c r="H646" s="19"/>
    </row>
    <row r="647" spans="1:8" ht="15.75" customHeight="1" x14ac:dyDescent="0.3">
      <c r="A647" s="19"/>
      <c r="B647" s="19"/>
      <c r="C647" s="19"/>
      <c r="D647" s="19"/>
      <c r="E647" s="19"/>
      <c r="F647" s="19"/>
      <c r="G647" s="19"/>
      <c r="H647" s="19"/>
    </row>
    <row r="648" spans="1:8" ht="15.75" customHeight="1" x14ac:dyDescent="0.3">
      <c r="A648" s="19"/>
      <c r="B648" s="19"/>
      <c r="C648" s="19"/>
      <c r="D648" s="19"/>
      <c r="E648" s="19"/>
      <c r="F648" s="19"/>
      <c r="G648" s="19"/>
      <c r="H648" s="19"/>
    </row>
    <row r="649" spans="1:8" ht="15.75" customHeight="1" x14ac:dyDescent="0.3">
      <c r="A649" s="19"/>
      <c r="B649" s="19"/>
      <c r="C649" s="19"/>
      <c r="D649" s="19"/>
      <c r="E649" s="19"/>
      <c r="F649" s="19"/>
      <c r="G649" s="19"/>
      <c r="H649" s="19"/>
    </row>
    <row r="650" spans="1:8" ht="15.75" customHeight="1" x14ac:dyDescent="0.3">
      <c r="A650" s="19"/>
      <c r="B650" s="19"/>
      <c r="C650" s="19"/>
      <c r="D650" s="19"/>
      <c r="E650" s="19"/>
      <c r="F650" s="19"/>
      <c r="G650" s="19"/>
      <c r="H650" s="19"/>
    </row>
    <row r="651" spans="1:8" ht="15.75" customHeight="1" x14ac:dyDescent="0.3">
      <c r="A651" s="19"/>
      <c r="B651" s="19"/>
      <c r="C651" s="19"/>
      <c r="D651" s="19"/>
      <c r="E651" s="19"/>
      <c r="F651" s="19"/>
      <c r="G651" s="19"/>
      <c r="H651" s="19"/>
    </row>
    <row r="652" spans="1:8" ht="15.75" customHeight="1" x14ac:dyDescent="0.3">
      <c r="A652" s="19"/>
      <c r="B652" s="19"/>
      <c r="C652" s="19"/>
      <c r="D652" s="19"/>
      <c r="E652" s="19"/>
      <c r="F652" s="19"/>
      <c r="G652" s="19"/>
      <c r="H652" s="19"/>
    </row>
    <row r="653" spans="1:8" ht="15.75" customHeight="1" x14ac:dyDescent="0.3">
      <c r="A653" s="19"/>
      <c r="B653" s="19"/>
      <c r="C653" s="19"/>
      <c r="D653" s="19"/>
      <c r="E653" s="19"/>
      <c r="F653" s="19"/>
      <c r="G653" s="19"/>
      <c r="H653" s="19"/>
    </row>
    <row r="654" spans="1:8" ht="15.75" customHeight="1" x14ac:dyDescent="0.3">
      <c r="A654" s="19"/>
      <c r="B654" s="19"/>
      <c r="C654" s="19"/>
      <c r="D654" s="19"/>
      <c r="E654" s="19"/>
      <c r="F654" s="19"/>
      <c r="G654" s="19"/>
      <c r="H654" s="19"/>
    </row>
    <row r="655" spans="1:8" ht="15.75" customHeight="1" x14ac:dyDescent="0.3">
      <c r="A655" s="19"/>
      <c r="B655" s="19"/>
      <c r="C655" s="19"/>
      <c r="D655" s="19"/>
      <c r="E655" s="19"/>
      <c r="F655" s="19"/>
      <c r="G655" s="19"/>
      <c r="H655" s="19"/>
    </row>
    <row r="656" spans="1:8" ht="15.75" customHeight="1" x14ac:dyDescent="0.3">
      <c r="A656" s="19"/>
      <c r="B656" s="19"/>
      <c r="C656" s="19"/>
      <c r="D656" s="19"/>
      <c r="E656" s="19"/>
      <c r="F656" s="19"/>
      <c r="G656" s="19"/>
      <c r="H656" s="19"/>
    </row>
    <row r="657" spans="1:8" ht="15.75" customHeight="1" x14ac:dyDescent="0.3">
      <c r="A657" s="19"/>
      <c r="B657" s="19"/>
      <c r="C657" s="19"/>
      <c r="D657" s="19"/>
      <c r="E657" s="19"/>
      <c r="F657" s="19"/>
      <c r="G657" s="19"/>
      <c r="H657" s="19"/>
    </row>
    <row r="658" spans="1:8" ht="15.75" customHeight="1" x14ac:dyDescent="0.3">
      <c r="A658" s="19"/>
      <c r="B658" s="19"/>
      <c r="C658" s="19"/>
      <c r="D658" s="19"/>
      <c r="E658" s="19"/>
      <c r="F658" s="19"/>
      <c r="G658" s="19"/>
      <c r="H658" s="19"/>
    </row>
    <row r="659" spans="1:8" ht="15.75" customHeight="1" x14ac:dyDescent="0.3">
      <c r="A659" s="19"/>
      <c r="B659" s="19"/>
      <c r="C659" s="19"/>
      <c r="D659" s="19"/>
      <c r="E659" s="19"/>
      <c r="F659" s="19"/>
      <c r="G659" s="19"/>
      <c r="H659" s="19"/>
    </row>
    <row r="660" spans="1:8" ht="15.75" customHeight="1" x14ac:dyDescent="0.3">
      <c r="A660" s="19"/>
      <c r="B660" s="19"/>
      <c r="C660" s="19"/>
      <c r="D660" s="19"/>
      <c r="E660" s="19"/>
      <c r="F660" s="19"/>
      <c r="G660" s="19"/>
      <c r="H660" s="19"/>
    </row>
    <row r="661" spans="1:8" ht="15.75" customHeight="1" x14ac:dyDescent="0.3">
      <c r="A661" s="19"/>
      <c r="B661" s="19"/>
      <c r="C661" s="19"/>
      <c r="D661" s="19"/>
      <c r="E661" s="19"/>
      <c r="F661" s="19"/>
      <c r="G661" s="19"/>
      <c r="H661" s="19"/>
    </row>
    <row r="662" spans="1:8" ht="15.75" customHeight="1" x14ac:dyDescent="0.3">
      <c r="A662" s="19"/>
      <c r="B662" s="19"/>
      <c r="C662" s="19"/>
      <c r="D662" s="19"/>
      <c r="E662" s="19"/>
      <c r="F662" s="19"/>
      <c r="G662" s="19"/>
      <c r="H662" s="19"/>
    </row>
    <row r="663" spans="1:8" ht="15.75" customHeight="1" x14ac:dyDescent="0.3">
      <c r="A663" s="19"/>
      <c r="B663" s="19"/>
      <c r="C663" s="19"/>
      <c r="D663" s="19"/>
      <c r="E663" s="19"/>
      <c r="F663" s="19"/>
      <c r="G663" s="19"/>
      <c r="H663" s="19"/>
    </row>
    <row r="664" spans="1:8" ht="15.75" customHeight="1" x14ac:dyDescent="0.3">
      <c r="A664" s="19"/>
      <c r="B664" s="19"/>
      <c r="C664" s="19"/>
      <c r="D664" s="19"/>
      <c r="E664" s="19"/>
      <c r="F664" s="19"/>
      <c r="G664" s="19"/>
      <c r="H664" s="19"/>
    </row>
    <row r="665" spans="1:8" ht="15.75" customHeight="1" x14ac:dyDescent="0.3">
      <c r="A665" s="19"/>
      <c r="B665" s="19"/>
      <c r="C665" s="19"/>
      <c r="D665" s="19"/>
      <c r="E665" s="19"/>
      <c r="F665" s="19"/>
      <c r="G665" s="19"/>
      <c r="H665" s="19"/>
    </row>
    <row r="666" spans="1:8" ht="15.75" customHeight="1" x14ac:dyDescent="0.3">
      <c r="A666" s="19"/>
      <c r="B666" s="19"/>
      <c r="C666" s="19"/>
      <c r="D666" s="19"/>
      <c r="E666" s="19"/>
      <c r="F666" s="19"/>
      <c r="G666" s="19"/>
      <c r="H666" s="19"/>
    </row>
    <row r="667" spans="1:8" ht="15.75" customHeight="1" x14ac:dyDescent="0.3">
      <c r="A667" s="19"/>
      <c r="B667" s="19"/>
      <c r="C667" s="19"/>
      <c r="D667" s="19"/>
      <c r="E667" s="19"/>
      <c r="F667" s="19"/>
      <c r="G667" s="19"/>
      <c r="H667" s="19"/>
    </row>
    <row r="668" spans="1:8" ht="15.75" customHeight="1" x14ac:dyDescent="0.3">
      <c r="A668" s="19"/>
      <c r="B668" s="19"/>
      <c r="C668" s="19"/>
      <c r="D668" s="19"/>
      <c r="E668" s="19"/>
      <c r="F668" s="19"/>
      <c r="G668" s="19"/>
      <c r="H668" s="19"/>
    </row>
    <row r="669" spans="1:8" ht="15.75" customHeight="1" x14ac:dyDescent="0.3">
      <c r="A669" s="19"/>
      <c r="B669" s="19"/>
      <c r="C669" s="19"/>
      <c r="D669" s="19"/>
      <c r="E669" s="19"/>
      <c r="F669" s="19"/>
      <c r="G669" s="19"/>
      <c r="H669" s="19"/>
    </row>
    <row r="670" spans="1:8" ht="15.75" customHeight="1" x14ac:dyDescent="0.3">
      <c r="A670" s="19"/>
      <c r="B670" s="19"/>
      <c r="C670" s="19"/>
      <c r="D670" s="19"/>
      <c r="E670" s="19"/>
      <c r="F670" s="19"/>
      <c r="G670" s="19"/>
      <c r="H670" s="19"/>
    </row>
    <row r="671" spans="1:8" ht="15.75" customHeight="1" x14ac:dyDescent="0.3">
      <c r="A671" s="19"/>
      <c r="B671" s="19"/>
      <c r="C671" s="19"/>
      <c r="D671" s="19"/>
      <c r="E671" s="19"/>
      <c r="F671" s="19"/>
      <c r="G671" s="19"/>
      <c r="H671" s="19"/>
    </row>
    <row r="672" spans="1:8" ht="15.75" customHeight="1" x14ac:dyDescent="0.3">
      <c r="A672" s="19"/>
      <c r="B672" s="19"/>
      <c r="C672" s="19"/>
      <c r="D672" s="19"/>
      <c r="E672" s="19"/>
      <c r="F672" s="19"/>
      <c r="G672" s="19"/>
      <c r="H672" s="19"/>
    </row>
    <row r="673" spans="1:8" ht="15.75" customHeight="1" x14ac:dyDescent="0.3">
      <c r="A673" s="19"/>
      <c r="B673" s="19"/>
      <c r="C673" s="19"/>
      <c r="D673" s="19"/>
      <c r="E673" s="19"/>
      <c r="F673" s="19"/>
      <c r="G673" s="19"/>
      <c r="H673" s="19"/>
    </row>
    <row r="674" spans="1:8" ht="15.75" customHeight="1" x14ac:dyDescent="0.3">
      <c r="A674" s="19"/>
      <c r="B674" s="19"/>
      <c r="C674" s="19"/>
      <c r="D674" s="19"/>
      <c r="E674" s="19"/>
      <c r="F674" s="19"/>
      <c r="G674" s="19"/>
      <c r="H674" s="19"/>
    </row>
    <row r="675" spans="1:8" ht="15.75" customHeight="1" x14ac:dyDescent="0.3">
      <c r="A675" s="19"/>
      <c r="B675" s="19"/>
      <c r="C675" s="19"/>
      <c r="D675" s="19"/>
      <c r="E675" s="19"/>
      <c r="F675" s="19"/>
      <c r="G675" s="19"/>
      <c r="H675" s="19"/>
    </row>
    <row r="676" spans="1:8" ht="15.75" customHeight="1" x14ac:dyDescent="0.3">
      <c r="A676" s="19"/>
      <c r="B676" s="19"/>
      <c r="C676" s="19"/>
      <c r="D676" s="19"/>
      <c r="E676" s="19"/>
      <c r="F676" s="19"/>
      <c r="G676" s="19"/>
      <c r="H676" s="19"/>
    </row>
    <row r="677" spans="1:8" ht="15.75" customHeight="1" x14ac:dyDescent="0.3">
      <c r="A677" s="19"/>
      <c r="B677" s="19"/>
      <c r="C677" s="19"/>
      <c r="D677" s="19"/>
      <c r="E677" s="19"/>
      <c r="F677" s="19"/>
      <c r="G677" s="19"/>
      <c r="H677" s="19"/>
    </row>
    <row r="678" spans="1:8" ht="15.75" customHeight="1" x14ac:dyDescent="0.3">
      <c r="A678" s="19"/>
      <c r="B678" s="19"/>
      <c r="C678" s="19"/>
      <c r="D678" s="19"/>
      <c r="E678" s="19"/>
      <c r="F678" s="19"/>
      <c r="G678" s="19"/>
      <c r="H678" s="19"/>
    </row>
    <row r="679" spans="1:8" ht="15.75" customHeight="1" x14ac:dyDescent="0.3">
      <c r="A679" s="19"/>
      <c r="B679" s="19"/>
      <c r="C679" s="19"/>
      <c r="D679" s="19"/>
      <c r="E679" s="19"/>
      <c r="F679" s="19"/>
      <c r="G679" s="19"/>
      <c r="H679" s="19"/>
    </row>
    <row r="680" spans="1:8" ht="15.75" customHeight="1" x14ac:dyDescent="0.3">
      <c r="A680" s="19"/>
      <c r="B680" s="19"/>
      <c r="C680" s="19"/>
      <c r="D680" s="19"/>
      <c r="E680" s="19"/>
      <c r="F680" s="19"/>
      <c r="G680" s="19"/>
      <c r="H680" s="19"/>
    </row>
    <row r="681" spans="1:8" ht="15.75" customHeight="1" x14ac:dyDescent="0.3">
      <c r="A681" s="19"/>
      <c r="B681" s="19"/>
      <c r="C681" s="19"/>
      <c r="D681" s="19"/>
      <c r="E681" s="19"/>
      <c r="F681" s="19"/>
      <c r="G681" s="19"/>
      <c r="H681" s="19"/>
    </row>
    <row r="682" spans="1:8" ht="15.75" customHeight="1" x14ac:dyDescent="0.3">
      <c r="A682" s="19"/>
      <c r="B682" s="19"/>
      <c r="C682" s="19"/>
      <c r="D682" s="19"/>
      <c r="E682" s="19"/>
      <c r="F682" s="19"/>
      <c r="G682" s="19"/>
      <c r="H682" s="19"/>
    </row>
    <row r="683" spans="1:8" ht="15.75" customHeight="1" x14ac:dyDescent="0.3">
      <c r="A683" s="19"/>
      <c r="B683" s="19"/>
      <c r="C683" s="19"/>
      <c r="D683" s="19"/>
      <c r="E683" s="19"/>
      <c r="F683" s="19"/>
      <c r="G683" s="19"/>
      <c r="H683" s="19"/>
    </row>
    <row r="684" spans="1:8" ht="15.75" customHeight="1" x14ac:dyDescent="0.3">
      <c r="A684" s="19"/>
      <c r="B684" s="19"/>
      <c r="C684" s="19"/>
      <c r="D684" s="19"/>
      <c r="E684" s="19"/>
      <c r="F684" s="19"/>
      <c r="G684" s="19"/>
      <c r="H684" s="19"/>
    </row>
    <row r="685" spans="1:8" ht="15.75" customHeight="1" x14ac:dyDescent="0.3">
      <c r="A685" s="19"/>
      <c r="B685" s="19"/>
      <c r="C685" s="19"/>
      <c r="D685" s="19"/>
      <c r="E685" s="19"/>
      <c r="F685" s="19"/>
      <c r="G685" s="19"/>
      <c r="H685" s="19"/>
    </row>
    <row r="686" spans="1:8" ht="15.75" customHeight="1" x14ac:dyDescent="0.3">
      <c r="A686" s="19"/>
      <c r="B686" s="19"/>
      <c r="C686" s="19"/>
      <c r="D686" s="19"/>
      <c r="E686" s="19"/>
      <c r="F686" s="19"/>
      <c r="G686" s="19"/>
      <c r="H686" s="19"/>
    </row>
    <row r="687" spans="1:8" ht="15.75" customHeight="1" x14ac:dyDescent="0.3">
      <c r="A687" s="19"/>
      <c r="B687" s="19"/>
      <c r="C687" s="19"/>
      <c r="D687" s="19"/>
      <c r="E687" s="19"/>
      <c r="F687" s="19"/>
      <c r="G687" s="19"/>
      <c r="H687" s="19"/>
    </row>
    <row r="688" spans="1:8" ht="15.75" customHeight="1" x14ac:dyDescent="0.3">
      <c r="A688" s="19"/>
      <c r="B688" s="19"/>
      <c r="C688" s="19"/>
      <c r="D688" s="19"/>
      <c r="E688" s="19"/>
      <c r="F688" s="19"/>
      <c r="G688" s="19"/>
      <c r="H688" s="19"/>
    </row>
    <row r="689" spans="1:8" ht="15.75" customHeight="1" x14ac:dyDescent="0.3">
      <c r="A689" s="19"/>
      <c r="B689" s="19"/>
      <c r="C689" s="19"/>
      <c r="D689" s="19"/>
      <c r="E689" s="19"/>
      <c r="F689" s="19"/>
      <c r="G689" s="19"/>
      <c r="H689" s="19"/>
    </row>
    <row r="690" spans="1:8" ht="15.75" customHeight="1" x14ac:dyDescent="0.3">
      <c r="A690" s="19"/>
      <c r="B690" s="19"/>
      <c r="C690" s="19"/>
      <c r="D690" s="19"/>
      <c r="E690" s="19"/>
      <c r="F690" s="19"/>
      <c r="G690" s="19"/>
      <c r="H690" s="19"/>
    </row>
    <row r="691" spans="1:8" ht="15.75" customHeight="1" x14ac:dyDescent="0.3">
      <c r="A691" s="19"/>
      <c r="B691" s="19"/>
      <c r="C691" s="19"/>
      <c r="D691" s="19"/>
      <c r="E691" s="19"/>
      <c r="F691" s="19"/>
      <c r="G691" s="19"/>
      <c r="H691" s="19"/>
    </row>
    <row r="692" spans="1:8" ht="15.75" customHeight="1" x14ac:dyDescent="0.3">
      <c r="A692" s="19"/>
      <c r="B692" s="19"/>
      <c r="C692" s="19"/>
      <c r="D692" s="19"/>
      <c r="E692" s="19"/>
      <c r="F692" s="19"/>
      <c r="G692" s="19"/>
      <c r="H692" s="19"/>
    </row>
    <row r="693" spans="1:8" ht="15.75" customHeight="1" x14ac:dyDescent="0.3">
      <c r="A693" s="19"/>
      <c r="B693" s="19"/>
      <c r="C693" s="19"/>
      <c r="D693" s="19"/>
      <c r="E693" s="19"/>
      <c r="F693" s="19"/>
      <c r="G693" s="19"/>
      <c r="H693" s="19"/>
    </row>
    <row r="694" spans="1:8" ht="15.75" customHeight="1" x14ac:dyDescent="0.3">
      <c r="A694" s="19"/>
      <c r="B694" s="19"/>
      <c r="C694" s="19"/>
      <c r="D694" s="19"/>
      <c r="E694" s="19"/>
      <c r="F694" s="19"/>
      <c r="G694" s="19"/>
      <c r="H694" s="19"/>
    </row>
    <row r="695" spans="1:8" ht="15.75" customHeight="1" x14ac:dyDescent="0.3">
      <c r="A695" s="19"/>
      <c r="B695" s="19"/>
      <c r="C695" s="19"/>
      <c r="D695" s="19"/>
      <c r="E695" s="19"/>
      <c r="F695" s="19"/>
      <c r="G695" s="19"/>
      <c r="H695" s="19"/>
    </row>
    <row r="696" spans="1:8" ht="15.75" customHeight="1" x14ac:dyDescent="0.3">
      <c r="A696" s="19"/>
      <c r="B696" s="19"/>
      <c r="C696" s="19"/>
      <c r="D696" s="19"/>
      <c r="E696" s="19"/>
      <c r="F696" s="19"/>
      <c r="G696" s="19"/>
      <c r="H696" s="19"/>
    </row>
    <row r="697" spans="1:8" ht="15.75" customHeight="1" x14ac:dyDescent="0.3">
      <c r="A697" s="19"/>
      <c r="B697" s="19"/>
      <c r="C697" s="19"/>
      <c r="D697" s="19"/>
      <c r="E697" s="19"/>
      <c r="F697" s="19"/>
      <c r="G697" s="19"/>
      <c r="H697" s="19"/>
    </row>
    <row r="698" spans="1:8" ht="15.75" customHeight="1" x14ac:dyDescent="0.3">
      <c r="A698" s="19"/>
      <c r="B698" s="19"/>
      <c r="C698" s="19"/>
      <c r="D698" s="19"/>
      <c r="E698" s="19"/>
      <c r="F698" s="19"/>
      <c r="G698" s="19"/>
      <c r="H698" s="19"/>
    </row>
    <row r="699" spans="1:8" ht="15.75" customHeight="1" x14ac:dyDescent="0.3">
      <c r="A699" s="19"/>
      <c r="B699" s="19"/>
      <c r="C699" s="19"/>
      <c r="D699" s="19"/>
      <c r="E699" s="19"/>
      <c r="F699" s="19"/>
      <c r="G699" s="19"/>
      <c r="H699" s="19"/>
    </row>
    <row r="700" spans="1:8" ht="15.75" customHeight="1" x14ac:dyDescent="0.3">
      <c r="A700" s="19"/>
      <c r="B700" s="19"/>
      <c r="C700" s="19"/>
      <c r="D700" s="19"/>
      <c r="E700" s="19"/>
      <c r="F700" s="19"/>
      <c r="G700" s="19"/>
      <c r="H700" s="19"/>
    </row>
    <row r="701" spans="1:8" ht="15.75" customHeight="1" x14ac:dyDescent="0.3">
      <c r="A701" s="19"/>
      <c r="B701" s="19"/>
      <c r="C701" s="19"/>
      <c r="D701" s="19"/>
      <c r="E701" s="19"/>
      <c r="F701" s="19"/>
      <c r="G701" s="19"/>
      <c r="H701" s="19"/>
    </row>
    <row r="702" spans="1:8" ht="15.75" customHeight="1" x14ac:dyDescent="0.3">
      <c r="A702" s="19"/>
      <c r="B702" s="19"/>
      <c r="C702" s="19"/>
      <c r="D702" s="19"/>
      <c r="E702" s="19"/>
      <c r="F702" s="19"/>
      <c r="G702" s="19"/>
      <c r="H702" s="19"/>
    </row>
    <row r="703" spans="1:8" ht="15.75" customHeight="1" x14ac:dyDescent="0.3">
      <c r="A703" s="19"/>
      <c r="B703" s="19"/>
      <c r="C703" s="19"/>
      <c r="D703" s="19"/>
      <c r="E703" s="19"/>
      <c r="F703" s="19"/>
      <c r="G703" s="19"/>
      <c r="H703" s="19"/>
    </row>
    <row r="704" spans="1:8" ht="15.75" customHeight="1" x14ac:dyDescent="0.3">
      <c r="A704" s="19"/>
      <c r="B704" s="19"/>
      <c r="C704" s="19"/>
      <c r="D704" s="19"/>
      <c r="E704" s="19"/>
      <c r="F704" s="19"/>
      <c r="G704" s="19"/>
      <c r="H704" s="19"/>
    </row>
    <row r="705" spans="1:8" ht="15.75" customHeight="1" x14ac:dyDescent="0.3">
      <c r="A705" s="19"/>
      <c r="B705" s="19"/>
      <c r="C705" s="19"/>
      <c r="D705" s="19"/>
      <c r="E705" s="19"/>
      <c r="F705" s="19"/>
      <c r="G705" s="19"/>
      <c r="H705" s="19"/>
    </row>
    <row r="706" spans="1:8" ht="15.75" customHeight="1" x14ac:dyDescent="0.3">
      <c r="A706" s="19"/>
      <c r="B706" s="19"/>
      <c r="C706" s="19"/>
      <c r="D706" s="19"/>
      <c r="E706" s="19"/>
      <c r="F706" s="19"/>
      <c r="G706" s="19"/>
      <c r="H706" s="19"/>
    </row>
    <row r="707" spans="1:8" ht="15.75" customHeight="1" x14ac:dyDescent="0.3">
      <c r="A707" s="19"/>
      <c r="B707" s="19"/>
      <c r="C707" s="19"/>
      <c r="D707" s="19"/>
      <c r="E707" s="19"/>
      <c r="F707" s="19"/>
      <c r="G707" s="19"/>
      <c r="H707" s="19"/>
    </row>
    <row r="708" spans="1:8" ht="15.75" customHeight="1" x14ac:dyDescent="0.3">
      <c r="A708" s="19"/>
      <c r="B708" s="19"/>
      <c r="C708" s="19"/>
      <c r="D708" s="19"/>
      <c r="E708" s="19"/>
      <c r="F708" s="19"/>
      <c r="G708" s="19"/>
      <c r="H708" s="19"/>
    </row>
    <row r="709" spans="1:8" ht="15.75" customHeight="1" x14ac:dyDescent="0.3">
      <c r="A709" s="19"/>
      <c r="B709" s="19"/>
      <c r="C709" s="19"/>
      <c r="D709" s="19"/>
      <c r="E709" s="19"/>
      <c r="F709" s="19"/>
      <c r="G709" s="19"/>
      <c r="H709" s="19"/>
    </row>
    <row r="710" spans="1:8" ht="15.75" customHeight="1" x14ac:dyDescent="0.3">
      <c r="A710" s="19"/>
      <c r="B710" s="19"/>
      <c r="C710" s="19"/>
      <c r="D710" s="19"/>
      <c r="E710" s="19"/>
      <c r="F710" s="19"/>
      <c r="G710" s="19"/>
      <c r="H710" s="19"/>
    </row>
    <row r="711" spans="1:8" ht="15.75" customHeight="1" x14ac:dyDescent="0.3">
      <c r="A711" s="19"/>
      <c r="B711" s="19"/>
      <c r="C711" s="19"/>
      <c r="D711" s="19"/>
      <c r="E711" s="19"/>
      <c r="F711" s="19"/>
      <c r="G711" s="19"/>
      <c r="H711" s="19"/>
    </row>
    <row r="712" spans="1:8" ht="15.75" customHeight="1" x14ac:dyDescent="0.3">
      <c r="A712" s="19"/>
      <c r="B712" s="19"/>
      <c r="C712" s="19"/>
      <c r="D712" s="19"/>
      <c r="E712" s="19"/>
      <c r="F712" s="19"/>
      <c r="G712" s="19"/>
      <c r="H712" s="19"/>
    </row>
    <row r="713" spans="1:8" ht="15.75" customHeight="1" x14ac:dyDescent="0.3">
      <c r="A713" s="19"/>
      <c r="B713" s="19"/>
      <c r="C713" s="19"/>
      <c r="D713" s="19"/>
      <c r="E713" s="19"/>
      <c r="F713" s="19"/>
      <c r="G713" s="19"/>
      <c r="H713" s="19"/>
    </row>
    <row r="714" spans="1:8" ht="15.75" customHeight="1" x14ac:dyDescent="0.3">
      <c r="A714" s="19"/>
      <c r="B714" s="19"/>
      <c r="C714" s="19"/>
      <c r="D714" s="19"/>
      <c r="E714" s="19"/>
      <c r="F714" s="19"/>
      <c r="G714" s="19"/>
      <c r="H714" s="19"/>
    </row>
    <row r="715" spans="1:8" ht="15.75" customHeight="1" x14ac:dyDescent="0.3">
      <c r="A715" s="19"/>
      <c r="B715" s="19"/>
      <c r="C715" s="19"/>
      <c r="D715" s="19"/>
      <c r="E715" s="19"/>
      <c r="F715" s="19"/>
      <c r="G715" s="19"/>
      <c r="H715" s="19"/>
    </row>
    <row r="716" spans="1:8" ht="15.75" customHeight="1" x14ac:dyDescent="0.3">
      <c r="A716" s="19"/>
      <c r="B716" s="19"/>
      <c r="C716" s="19"/>
      <c r="D716" s="19"/>
      <c r="E716" s="19"/>
      <c r="F716" s="19"/>
      <c r="G716" s="19"/>
      <c r="H716" s="19"/>
    </row>
    <row r="717" spans="1:8" ht="15.75" customHeight="1" x14ac:dyDescent="0.3">
      <c r="A717" s="19"/>
      <c r="B717" s="19"/>
      <c r="C717" s="19"/>
      <c r="D717" s="19"/>
      <c r="E717" s="19"/>
      <c r="F717" s="19"/>
      <c r="G717" s="19"/>
      <c r="H717" s="19"/>
    </row>
    <row r="718" spans="1:8" ht="15.75" customHeight="1" x14ac:dyDescent="0.3">
      <c r="A718" s="19"/>
      <c r="B718" s="19"/>
      <c r="C718" s="19"/>
      <c r="D718" s="19"/>
      <c r="E718" s="19"/>
      <c r="F718" s="19"/>
      <c r="G718" s="19"/>
      <c r="H718" s="19"/>
    </row>
    <row r="719" spans="1:8" ht="15.75" customHeight="1" x14ac:dyDescent="0.3">
      <c r="A719" s="19"/>
      <c r="B719" s="19"/>
      <c r="C719" s="19"/>
      <c r="D719" s="19"/>
      <c r="E719" s="19"/>
      <c r="F719" s="19"/>
      <c r="G719" s="19"/>
      <c r="H719" s="19"/>
    </row>
    <row r="720" spans="1:8" ht="15.75" customHeight="1" x14ac:dyDescent="0.3">
      <c r="A720" s="19"/>
      <c r="B720" s="19"/>
      <c r="C720" s="19"/>
      <c r="D720" s="19"/>
      <c r="E720" s="19"/>
      <c r="F720" s="19"/>
      <c r="G720" s="19"/>
      <c r="H720" s="19"/>
    </row>
    <row r="721" spans="1:8" ht="15.75" customHeight="1" x14ac:dyDescent="0.3">
      <c r="A721" s="19"/>
      <c r="B721" s="19"/>
      <c r="C721" s="19"/>
      <c r="D721" s="19"/>
      <c r="E721" s="19"/>
      <c r="F721" s="19"/>
      <c r="G721" s="19"/>
      <c r="H721" s="19"/>
    </row>
    <row r="722" spans="1:8" ht="15.75" customHeight="1" x14ac:dyDescent="0.3">
      <c r="A722" s="19"/>
      <c r="B722" s="19"/>
      <c r="C722" s="19"/>
      <c r="D722" s="19"/>
      <c r="E722" s="19"/>
      <c r="F722" s="19"/>
      <c r="G722" s="19"/>
      <c r="H722" s="19"/>
    </row>
    <row r="723" spans="1:8" ht="15.75" customHeight="1" x14ac:dyDescent="0.3">
      <c r="A723" s="19"/>
      <c r="B723" s="19"/>
      <c r="C723" s="19"/>
      <c r="D723" s="19"/>
      <c r="E723" s="19"/>
      <c r="F723" s="19"/>
      <c r="G723" s="19"/>
      <c r="H723" s="19"/>
    </row>
    <row r="724" spans="1:8" ht="15.75" customHeight="1" x14ac:dyDescent="0.3">
      <c r="A724" s="19"/>
      <c r="B724" s="19"/>
      <c r="C724" s="19"/>
      <c r="D724" s="19"/>
      <c r="E724" s="19"/>
      <c r="F724" s="19"/>
      <c r="G724" s="19"/>
      <c r="H724" s="19"/>
    </row>
    <row r="725" spans="1:8" ht="15.75" customHeight="1" x14ac:dyDescent="0.3">
      <c r="A725" s="19"/>
      <c r="B725" s="19"/>
      <c r="C725" s="19"/>
      <c r="D725" s="19"/>
      <c r="E725" s="19"/>
      <c r="F725" s="19"/>
      <c r="G725" s="19"/>
      <c r="H725" s="19"/>
    </row>
    <row r="726" spans="1:8" ht="15.75" customHeight="1" x14ac:dyDescent="0.3">
      <c r="A726" s="19"/>
      <c r="B726" s="19"/>
      <c r="C726" s="19"/>
      <c r="D726" s="19"/>
      <c r="E726" s="19"/>
      <c r="F726" s="19"/>
      <c r="G726" s="19"/>
      <c r="H726" s="19"/>
    </row>
    <row r="727" spans="1:8" ht="15.75" customHeight="1" x14ac:dyDescent="0.3">
      <c r="A727" s="19"/>
      <c r="B727" s="19"/>
      <c r="C727" s="19"/>
      <c r="D727" s="19"/>
      <c r="E727" s="19"/>
      <c r="F727" s="19"/>
      <c r="G727" s="19"/>
      <c r="H727" s="19"/>
    </row>
    <row r="728" spans="1:8" ht="15.75" customHeight="1" x14ac:dyDescent="0.3">
      <c r="A728" s="19"/>
      <c r="B728" s="19"/>
      <c r="C728" s="19"/>
      <c r="D728" s="19"/>
      <c r="E728" s="19"/>
      <c r="F728" s="19"/>
      <c r="G728" s="19"/>
      <c r="H728" s="19"/>
    </row>
    <row r="729" spans="1:8" ht="15.75" customHeight="1" x14ac:dyDescent="0.3">
      <c r="A729" s="19"/>
      <c r="B729" s="19"/>
      <c r="C729" s="19"/>
      <c r="D729" s="19"/>
      <c r="E729" s="19"/>
      <c r="F729" s="19"/>
      <c r="G729" s="19"/>
      <c r="H729" s="19"/>
    </row>
    <row r="730" spans="1:8" ht="15.75" customHeight="1" x14ac:dyDescent="0.3">
      <c r="A730" s="19"/>
      <c r="B730" s="19"/>
      <c r="C730" s="19"/>
      <c r="D730" s="19"/>
      <c r="E730" s="19"/>
      <c r="F730" s="19"/>
      <c r="G730" s="19"/>
      <c r="H730" s="19"/>
    </row>
    <row r="731" spans="1:8" ht="15.75" customHeight="1" x14ac:dyDescent="0.3">
      <c r="A731" s="19"/>
      <c r="B731" s="19"/>
      <c r="C731" s="19"/>
      <c r="D731" s="19"/>
      <c r="E731" s="19"/>
      <c r="F731" s="19"/>
      <c r="G731" s="19"/>
      <c r="H731" s="19"/>
    </row>
    <row r="732" spans="1:8" ht="15.75" customHeight="1" x14ac:dyDescent="0.3">
      <c r="A732" s="19"/>
      <c r="B732" s="19"/>
      <c r="C732" s="19"/>
      <c r="D732" s="19"/>
      <c r="E732" s="19"/>
      <c r="F732" s="19"/>
      <c r="G732" s="19"/>
      <c r="H732" s="19"/>
    </row>
    <row r="733" spans="1:8" ht="15.75" customHeight="1" x14ac:dyDescent="0.3">
      <c r="A733" s="19"/>
      <c r="B733" s="19"/>
      <c r="C733" s="19"/>
      <c r="D733" s="19"/>
      <c r="E733" s="19"/>
      <c r="F733" s="19"/>
      <c r="G733" s="19"/>
      <c r="H733" s="19"/>
    </row>
    <row r="734" spans="1:8" ht="15.75" customHeight="1" x14ac:dyDescent="0.3">
      <c r="A734" s="19"/>
      <c r="B734" s="19"/>
      <c r="C734" s="19"/>
      <c r="D734" s="19"/>
      <c r="E734" s="19"/>
      <c r="F734" s="19"/>
      <c r="G734" s="19"/>
      <c r="H734" s="19"/>
    </row>
    <row r="735" spans="1:8" ht="15.75" customHeight="1" x14ac:dyDescent="0.3">
      <c r="A735" s="19"/>
      <c r="B735" s="19"/>
      <c r="C735" s="19"/>
      <c r="D735" s="19"/>
      <c r="E735" s="19"/>
      <c r="F735" s="19"/>
      <c r="G735" s="19"/>
      <c r="H735" s="19"/>
    </row>
    <row r="736" spans="1:8" ht="15.75" customHeight="1" x14ac:dyDescent="0.3">
      <c r="A736" s="19"/>
      <c r="B736" s="19"/>
      <c r="C736" s="19"/>
      <c r="D736" s="19"/>
      <c r="E736" s="19"/>
      <c r="F736" s="19"/>
      <c r="G736" s="19"/>
      <c r="H736" s="19"/>
    </row>
    <row r="737" spans="1:8" ht="15.75" customHeight="1" x14ac:dyDescent="0.3">
      <c r="A737" s="19"/>
      <c r="B737" s="19"/>
      <c r="C737" s="19"/>
      <c r="D737" s="19"/>
      <c r="E737" s="19"/>
      <c r="F737" s="19"/>
      <c r="G737" s="19"/>
      <c r="H737" s="19"/>
    </row>
    <row r="738" spans="1:8" ht="15.75" customHeight="1" x14ac:dyDescent="0.3">
      <c r="A738" s="19"/>
      <c r="B738" s="19"/>
      <c r="C738" s="19"/>
      <c r="D738" s="19"/>
      <c r="E738" s="19"/>
      <c r="F738" s="19"/>
      <c r="G738" s="19"/>
      <c r="H738" s="19"/>
    </row>
    <row r="739" spans="1:8" ht="15.75" customHeight="1" x14ac:dyDescent="0.3">
      <c r="A739" s="19"/>
      <c r="B739" s="19"/>
      <c r="C739" s="19"/>
      <c r="D739" s="19"/>
      <c r="E739" s="19"/>
      <c r="F739" s="19"/>
      <c r="G739" s="19"/>
      <c r="H739" s="19"/>
    </row>
    <row r="740" spans="1:8" ht="15.75" customHeight="1" x14ac:dyDescent="0.3">
      <c r="A740" s="19"/>
      <c r="B740" s="19"/>
      <c r="C740" s="19"/>
      <c r="D740" s="19"/>
      <c r="E740" s="19"/>
      <c r="F740" s="19"/>
      <c r="G740" s="19"/>
      <c r="H740" s="19"/>
    </row>
    <row r="741" spans="1:8" ht="15.75" customHeight="1" x14ac:dyDescent="0.3">
      <c r="A741" s="19"/>
      <c r="B741" s="19"/>
      <c r="C741" s="19"/>
      <c r="D741" s="19"/>
      <c r="E741" s="19"/>
      <c r="F741" s="19"/>
      <c r="G741" s="19"/>
      <c r="H741" s="19"/>
    </row>
    <row r="742" spans="1:8" ht="15.75" customHeight="1" x14ac:dyDescent="0.3">
      <c r="A742" s="19"/>
      <c r="B742" s="19"/>
      <c r="C742" s="19"/>
      <c r="D742" s="19"/>
      <c r="E742" s="19"/>
      <c r="F742" s="19"/>
      <c r="G742" s="19"/>
      <c r="H742" s="19"/>
    </row>
    <row r="743" spans="1:8" ht="15.75" customHeight="1" x14ac:dyDescent="0.3">
      <c r="A743" s="19"/>
      <c r="B743" s="19"/>
      <c r="C743" s="19"/>
      <c r="D743" s="19"/>
      <c r="E743" s="19"/>
      <c r="F743" s="19"/>
      <c r="G743" s="19"/>
      <c r="H743" s="19"/>
    </row>
    <row r="744" spans="1:8" ht="15.75" customHeight="1" x14ac:dyDescent="0.3">
      <c r="A744" s="19"/>
      <c r="B744" s="19"/>
      <c r="C744" s="19"/>
      <c r="D744" s="19"/>
      <c r="E744" s="19"/>
      <c r="F744" s="19"/>
      <c r="G744" s="19"/>
      <c r="H744" s="19"/>
    </row>
    <row r="745" spans="1:8" ht="15.75" customHeight="1" x14ac:dyDescent="0.3">
      <c r="A745" s="19"/>
      <c r="B745" s="19"/>
      <c r="C745" s="19"/>
      <c r="D745" s="19"/>
      <c r="E745" s="19"/>
      <c r="F745" s="19"/>
      <c r="G745" s="19"/>
      <c r="H745" s="19"/>
    </row>
    <row r="746" spans="1:8" ht="15.75" customHeight="1" x14ac:dyDescent="0.3">
      <c r="A746" s="19"/>
      <c r="B746" s="19"/>
      <c r="C746" s="19"/>
      <c r="D746" s="19"/>
      <c r="E746" s="19"/>
      <c r="F746" s="19"/>
      <c r="G746" s="19"/>
      <c r="H746" s="19"/>
    </row>
    <row r="747" spans="1:8" ht="15.75" customHeight="1" x14ac:dyDescent="0.3">
      <c r="A747" s="19"/>
      <c r="B747" s="19"/>
      <c r="C747" s="19"/>
      <c r="D747" s="19"/>
      <c r="E747" s="19"/>
      <c r="F747" s="19"/>
      <c r="G747" s="19"/>
      <c r="H747" s="19"/>
    </row>
    <row r="748" spans="1:8" ht="15.75" customHeight="1" x14ac:dyDescent="0.3">
      <c r="A748" s="19"/>
      <c r="B748" s="19"/>
      <c r="C748" s="19"/>
      <c r="D748" s="19"/>
      <c r="E748" s="19"/>
      <c r="F748" s="19"/>
      <c r="G748" s="19"/>
      <c r="H748" s="19"/>
    </row>
    <row r="749" spans="1:8" ht="15.75" customHeight="1" x14ac:dyDescent="0.3">
      <c r="A749" s="19"/>
      <c r="B749" s="19"/>
      <c r="C749" s="19"/>
      <c r="D749" s="19"/>
      <c r="E749" s="19"/>
      <c r="F749" s="19"/>
      <c r="G749" s="19"/>
      <c r="H749" s="19"/>
    </row>
    <row r="750" spans="1:8" ht="15.75" customHeight="1" x14ac:dyDescent="0.3">
      <c r="A750" s="19"/>
      <c r="B750" s="19"/>
      <c r="C750" s="19"/>
      <c r="D750" s="19"/>
      <c r="E750" s="19"/>
      <c r="F750" s="19"/>
      <c r="G750" s="19"/>
      <c r="H750" s="19"/>
    </row>
    <row r="751" spans="1:8" ht="15.75" customHeight="1" x14ac:dyDescent="0.3">
      <c r="A751" s="19"/>
      <c r="B751" s="19"/>
      <c r="C751" s="19"/>
      <c r="D751" s="19"/>
      <c r="E751" s="19"/>
      <c r="F751" s="19"/>
      <c r="G751" s="19"/>
      <c r="H751" s="19"/>
    </row>
    <row r="752" spans="1:8" ht="15.75" customHeight="1" x14ac:dyDescent="0.3">
      <c r="A752" s="19"/>
      <c r="B752" s="19"/>
      <c r="C752" s="19"/>
      <c r="D752" s="19"/>
      <c r="E752" s="19"/>
      <c r="F752" s="19"/>
      <c r="G752" s="19"/>
      <c r="H752" s="19"/>
    </row>
    <row r="753" spans="1:8" ht="15.75" customHeight="1" x14ac:dyDescent="0.3">
      <c r="A753" s="19"/>
      <c r="B753" s="19"/>
      <c r="C753" s="19"/>
      <c r="D753" s="19"/>
      <c r="E753" s="19"/>
      <c r="F753" s="19"/>
      <c r="G753" s="19"/>
      <c r="H753" s="19"/>
    </row>
    <row r="754" spans="1:8" ht="15.75" customHeight="1" x14ac:dyDescent="0.3">
      <c r="A754" s="19"/>
      <c r="B754" s="19"/>
      <c r="C754" s="19"/>
      <c r="D754" s="19"/>
      <c r="E754" s="19"/>
      <c r="F754" s="19"/>
      <c r="G754" s="19"/>
      <c r="H754" s="19"/>
    </row>
    <row r="755" spans="1:8" ht="15.75" customHeight="1" x14ac:dyDescent="0.3">
      <c r="A755" s="19"/>
      <c r="B755" s="19"/>
      <c r="C755" s="19"/>
      <c r="D755" s="19"/>
      <c r="E755" s="19"/>
      <c r="F755" s="19"/>
      <c r="G755" s="19"/>
      <c r="H755" s="19"/>
    </row>
    <row r="756" spans="1:8" ht="15.75" customHeight="1" x14ac:dyDescent="0.3">
      <c r="A756" s="19"/>
      <c r="B756" s="19"/>
      <c r="C756" s="19"/>
      <c r="D756" s="19"/>
      <c r="E756" s="19"/>
      <c r="F756" s="19"/>
      <c r="G756" s="19"/>
      <c r="H756" s="19"/>
    </row>
    <row r="757" spans="1:8" ht="15.75" customHeight="1" x14ac:dyDescent="0.3">
      <c r="A757" s="19"/>
      <c r="B757" s="19"/>
      <c r="C757" s="19"/>
      <c r="D757" s="19"/>
      <c r="E757" s="19"/>
      <c r="F757" s="19"/>
      <c r="G757" s="19"/>
      <c r="H757" s="19"/>
    </row>
    <row r="758" spans="1:8" ht="15.75" customHeight="1" x14ac:dyDescent="0.3">
      <c r="A758" s="19"/>
      <c r="B758" s="19"/>
      <c r="C758" s="19"/>
      <c r="D758" s="19"/>
      <c r="E758" s="19"/>
      <c r="F758" s="19"/>
      <c r="G758" s="19"/>
      <c r="H758" s="19"/>
    </row>
    <row r="759" spans="1:8" ht="15.75" customHeight="1" x14ac:dyDescent="0.3">
      <c r="A759" s="19"/>
      <c r="B759" s="19"/>
      <c r="C759" s="19"/>
      <c r="D759" s="19"/>
      <c r="E759" s="19"/>
      <c r="F759" s="19"/>
      <c r="G759" s="19"/>
      <c r="H759" s="19"/>
    </row>
    <row r="760" spans="1:8" ht="15.75" customHeight="1" x14ac:dyDescent="0.3">
      <c r="A760" s="19"/>
      <c r="B760" s="19"/>
      <c r="C760" s="19"/>
      <c r="D760" s="19"/>
      <c r="E760" s="19"/>
      <c r="F760" s="19"/>
      <c r="G760" s="19"/>
      <c r="H760" s="19"/>
    </row>
    <row r="761" spans="1:8" ht="15.75" customHeight="1" x14ac:dyDescent="0.3">
      <c r="A761" s="19"/>
      <c r="B761" s="19"/>
      <c r="C761" s="19"/>
      <c r="D761" s="19"/>
      <c r="E761" s="19"/>
      <c r="F761" s="19"/>
      <c r="G761" s="19"/>
      <c r="H761" s="19"/>
    </row>
    <row r="762" spans="1:8" ht="15.75" customHeight="1" x14ac:dyDescent="0.3">
      <c r="A762" s="19"/>
      <c r="B762" s="19"/>
      <c r="C762" s="19"/>
      <c r="D762" s="19"/>
      <c r="E762" s="19"/>
      <c r="F762" s="19"/>
      <c r="G762" s="19"/>
      <c r="H762" s="19"/>
    </row>
    <row r="763" spans="1:8" ht="15.75" customHeight="1" x14ac:dyDescent="0.3">
      <c r="A763" s="19"/>
      <c r="B763" s="19"/>
      <c r="C763" s="19"/>
      <c r="D763" s="19"/>
      <c r="E763" s="19"/>
      <c r="F763" s="19"/>
      <c r="G763" s="19"/>
      <c r="H763" s="19"/>
    </row>
    <row r="764" spans="1:8" ht="15.75" customHeight="1" x14ac:dyDescent="0.3">
      <c r="A764" s="19"/>
      <c r="B764" s="19"/>
      <c r="C764" s="19"/>
      <c r="D764" s="19"/>
      <c r="E764" s="19"/>
      <c r="F764" s="19"/>
      <c r="G764" s="19"/>
      <c r="H764" s="19"/>
    </row>
    <row r="765" spans="1:8" ht="15.75" customHeight="1" x14ac:dyDescent="0.3">
      <c r="A765" s="19"/>
      <c r="B765" s="19"/>
      <c r="C765" s="19"/>
      <c r="D765" s="19"/>
      <c r="E765" s="19"/>
      <c r="F765" s="19"/>
      <c r="G765" s="19"/>
      <c r="H765" s="19"/>
    </row>
    <row r="766" spans="1:8" ht="15.75" customHeight="1" x14ac:dyDescent="0.3">
      <c r="A766" s="19"/>
      <c r="B766" s="19"/>
      <c r="C766" s="19"/>
      <c r="D766" s="19"/>
      <c r="E766" s="19"/>
      <c r="F766" s="19"/>
      <c r="G766" s="19"/>
      <c r="H766" s="19"/>
    </row>
    <row r="767" spans="1:8" ht="15.75" customHeight="1" x14ac:dyDescent="0.3">
      <c r="A767" s="19"/>
      <c r="B767" s="19"/>
      <c r="C767" s="19"/>
      <c r="D767" s="19"/>
      <c r="E767" s="19"/>
      <c r="F767" s="19"/>
      <c r="G767" s="19"/>
      <c r="H767" s="19"/>
    </row>
    <row r="768" spans="1:8" ht="15.75" customHeight="1" x14ac:dyDescent="0.3">
      <c r="A768" s="19"/>
      <c r="B768" s="19"/>
      <c r="C768" s="19"/>
      <c r="D768" s="19"/>
      <c r="E768" s="19"/>
      <c r="F768" s="19"/>
      <c r="G768" s="19"/>
      <c r="H768" s="19"/>
    </row>
    <row r="769" spans="1:8" ht="15.75" customHeight="1" x14ac:dyDescent="0.3">
      <c r="A769" s="19"/>
      <c r="B769" s="19"/>
      <c r="C769" s="19"/>
      <c r="D769" s="19"/>
      <c r="E769" s="19"/>
      <c r="F769" s="19"/>
      <c r="G769" s="19"/>
      <c r="H769" s="19"/>
    </row>
    <row r="770" spans="1:8" ht="15.75" customHeight="1" x14ac:dyDescent="0.3">
      <c r="A770" s="19"/>
      <c r="B770" s="19"/>
      <c r="C770" s="19"/>
      <c r="D770" s="19"/>
      <c r="E770" s="19"/>
      <c r="F770" s="19"/>
      <c r="G770" s="19"/>
      <c r="H770" s="19"/>
    </row>
    <row r="771" spans="1:8" ht="15.75" customHeight="1" x14ac:dyDescent="0.3">
      <c r="A771" s="19"/>
      <c r="B771" s="19"/>
      <c r="C771" s="19"/>
      <c r="D771" s="19"/>
      <c r="E771" s="19"/>
      <c r="F771" s="19"/>
      <c r="G771" s="19"/>
      <c r="H771" s="19"/>
    </row>
    <row r="772" spans="1:8" ht="15.75" customHeight="1" x14ac:dyDescent="0.3">
      <c r="A772" s="19"/>
      <c r="B772" s="19"/>
      <c r="C772" s="19"/>
      <c r="D772" s="19"/>
      <c r="E772" s="19"/>
      <c r="F772" s="19"/>
      <c r="G772" s="19"/>
      <c r="H772" s="19"/>
    </row>
    <row r="773" spans="1:8" ht="15.75" customHeight="1" x14ac:dyDescent="0.3">
      <c r="A773" s="19"/>
      <c r="B773" s="19"/>
      <c r="C773" s="19"/>
      <c r="D773" s="19"/>
      <c r="E773" s="19"/>
      <c r="F773" s="19"/>
      <c r="G773" s="19"/>
      <c r="H773" s="19"/>
    </row>
    <row r="774" spans="1:8" ht="15.75" customHeight="1" x14ac:dyDescent="0.3">
      <c r="A774" s="19"/>
      <c r="B774" s="19"/>
      <c r="C774" s="19"/>
      <c r="D774" s="19"/>
      <c r="E774" s="19"/>
      <c r="F774" s="19"/>
      <c r="G774" s="19"/>
      <c r="H774" s="19"/>
    </row>
    <row r="775" spans="1:8" ht="15.75" customHeight="1" x14ac:dyDescent="0.3">
      <c r="A775" s="19"/>
      <c r="B775" s="19"/>
      <c r="C775" s="19"/>
      <c r="D775" s="19"/>
      <c r="E775" s="19"/>
      <c r="F775" s="19"/>
      <c r="G775" s="19"/>
      <c r="H775" s="19"/>
    </row>
    <row r="776" spans="1:8" ht="15.75" customHeight="1" x14ac:dyDescent="0.3">
      <c r="A776" s="19"/>
      <c r="B776" s="19"/>
      <c r="C776" s="19"/>
      <c r="D776" s="19"/>
      <c r="E776" s="19"/>
      <c r="F776" s="19"/>
      <c r="G776" s="19"/>
      <c r="H776" s="19"/>
    </row>
    <row r="777" spans="1:8" ht="15.75" customHeight="1" x14ac:dyDescent="0.3">
      <c r="A777" s="19"/>
      <c r="B777" s="19"/>
      <c r="C777" s="19"/>
      <c r="D777" s="19"/>
      <c r="E777" s="19"/>
      <c r="F777" s="19"/>
      <c r="G777" s="19"/>
      <c r="H777" s="19"/>
    </row>
    <row r="778" spans="1:8" ht="15.75" customHeight="1" x14ac:dyDescent="0.3">
      <c r="A778" s="19"/>
      <c r="B778" s="19"/>
      <c r="C778" s="19"/>
      <c r="D778" s="19"/>
      <c r="E778" s="19"/>
      <c r="F778" s="19"/>
      <c r="G778" s="19"/>
      <c r="H778" s="19"/>
    </row>
    <row r="779" spans="1:8" ht="15.75" customHeight="1" x14ac:dyDescent="0.3">
      <c r="A779" s="19"/>
      <c r="B779" s="19"/>
      <c r="C779" s="19"/>
      <c r="D779" s="19"/>
      <c r="E779" s="19"/>
      <c r="F779" s="19"/>
      <c r="G779" s="19"/>
      <c r="H779" s="19"/>
    </row>
    <row r="780" spans="1:8" ht="15.75" customHeight="1" x14ac:dyDescent="0.3">
      <c r="A780" s="19"/>
      <c r="B780" s="19"/>
      <c r="C780" s="19"/>
      <c r="D780" s="19"/>
      <c r="E780" s="19"/>
      <c r="F780" s="19"/>
      <c r="G780" s="19"/>
      <c r="H780" s="19"/>
    </row>
    <row r="781" spans="1:8" ht="15.75" customHeight="1" x14ac:dyDescent="0.3">
      <c r="A781" s="19"/>
      <c r="B781" s="19"/>
      <c r="C781" s="19"/>
      <c r="D781" s="19"/>
      <c r="E781" s="19"/>
      <c r="F781" s="19"/>
      <c r="G781" s="19"/>
      <c r="H781" s="19"/>
    </row>
    <row r="782" spans="1:8" ht="15.75" customHeight="1" x14ac:dyDescent="0.3">
      <c r="A782" s="19"/>
      <c r="B782" s="19"/>
      <c r="C782" s="19"/>
      <c r="D782" s="19"/>
      <c r="E782" s="19"/>
      <c r="F782" s="19"/>
      <c r="G782" s="19"/>
      <c r="H782" s="19"/>
    </row>
    <row r="783" spans="1:8" ht="15.75" customHeight="1" x14ac:dyDescent="0.3">
      <c r="A783" s="19"/>
      <c r="B783" s="19"/>
      <c r="C783" s="19"/>
      <c r="D783" s="19"/>
      <c r="E783" s="19"/>
      <c r="F783" s="19"/>
      <c r="G783" s="19"/>
      <c r="H783" s="19"/>
    </row>
    <row r="784" spans="1:8" ht="15.75" customHeight="1" x14ac:dyDescent="0.3">
      <c r="A784" s="19"/>
      <c r="B784" s="19"/>
      <c r="C784" s="19"/>
      <c r="D784" s="19"/>
      <c r="E784" s="19"/>
      <c r="F784" s="19"/>
      <c r="G784" s="19"/>
      <c r="H784" s="19"/>
    </row>
    <row r="785" spans="1:8" ht="15.75" customHeight="1" x14ac:dyDescent="0.3">
      <c r="A785" s="19"/>
      <c r="B785" s="19"/>
      <c r="C785" s="19"/>
      <c r="D785" s="19"/>
      <c r="E785" s="19"/>
      <c r="F785" s="19"/>
      <c r="G785" s="19"/>
      <c r="H785" s="19"/>
    </row>
    <row r="786" spans="1:8" ht="15.75" customHeight="1" x14ac:dyDescent="0.3">
      <c r="A786" s="19"/>
      <c r="B786" s="19"/>
      <c r="C786" s="19"/>
      <c r="D786" s="19"/>
      <c r="E786" s="19"/>
      <c r="F786" s="19"/>
      <c r="G786" s="19"/>
      <c r="H786" s="19"/>
    </row>
    <row r="787" spans="1:8" ht="15.75" customHeight="1" x14ac:dyDescent="0.3">
      <c r="A787" s="19"/>
      <c r="B787" s="19"/>
      <c r="C787" s="19"/>
      <c r="D787" s="19"/>
      <c r="E787" s="19"/>
      <c r="F787" s="19"/>
      <c r="G787" s="19"/>
      <c r="H787" s="19"/>
    </row>
    <row r="788" spans="1:8" ht="15.75" customHeight="1" x14ac:dyDescent="0.3">
      <c r="A788" s="19"/>
      <c r="B788" s="19"/>
      <c r="C788" s="19"/>
      <c r="D788" s="19"/>
      <c r="E788" s="19"/>
      <c r="F788" s="19"/>
      <c r="G788" s="19"/>
      <c r="H788" s="19"/>
    </row>
    <row r="789" spans="1:8" ht="15.75" customHeight="1" x14ac:dyDescent="0.3">
      <c r="A789" s="19"/>
      <c r="B789" s="19"/>
      <c r="C789" s="19"/>
      <c r="D789" s="19"/>
      <c r="E789" s="19"/>
      <c r="F789" s="19"/>
      <c r="G789" s="19"/>
      <c r="H789" s="19"/>
    </row>
    <row r="790" spans="1:8" ht="15.75" customHeight="1" x14ac:dyDescent="0.3">
      <c r="A790" s="19"/>
      <c r="B790" s="19"/>
      <c r="C790" s="19"/>
      <c r="D790" s="19"/>
      <c r="E790" s="19"/>
      <c r="F790" s="19"/>
      <c r="G790" s="19"/>
      <c r="H790" s="19"/>
    </row>
    <row r="791" spans="1:8" ht="15.75" customHeight="1" x14ac:dyDescent="0.3">
      <c r="A791" s="19"/>
      <c r="B791" s="19"/>
      <c r="C791" s="19"/>
      <c r="D791" s="19"/>
      <c r="E791" s="19"/>
      <c r="F791" s="19"/>
      <c r="G791" s="19"/>
      <c r="H791" s="19"/>
    </row>
    <row r="792" spans="1:8" ht="15.75" customHeight="1" x14ac:dyDescent="0.3">
      <c r="A792" s="19"/>
      <c r="B792" s="19"/>
      <c r="C792" s="19"/>
      <c r="D792" s="19"/>
      <c r="E792" s="19"/>
      <c r="F792" s="19"/>
      <c r="G792" s="19"/>
      <c r="H792" s="19"/>
    </row>
    <row r="793" spans="1:8" ht="15.75" customHeight="1" x14ac:dyDescent="0.3">
      <c r="A793" s="19"/>
      <c r="B793" s="19"/>
      <c r="C793" s="19"/>
      <c r="D793" s="19"/>
      <c r="E793" s="19"/>
      <c r="F793" s="19"/>
      <c r="G793" s="19"/>
      <c r="H793" s="19"/>
    </row>
    <row r="794" spans="1:8" ht="15.75" customHeight="1" x14ac:dyDescent="0.3">
      <c r="A794" s="19"/>
      <c r="B794" s="19"/>
      <c r="C794" s="19"/>
      <c r="D794" s="19"/>
      <c r="E794" s="19"/>
      <c r="F794" s="19"/>
      <c r="G794" s="19"/>
      <c r="H794" s="19"/>
    </row>
    <row r="795" spans="1:8" ht="15.75" customHeight="1" x14ac:dyDescent="0.3">
      <c r="A795" s="19"/>
      <c r="B795" s="19"/>
      <c r="C795" s="19"/>
      <c r="D795" s="19"/>
      <c r="E795" s="19"/>
      <c r="F795" s="19"/>
      <c r="G795" s="19"/>
      <c r="H795" s="19"/>
    </row>
    <row r="796" spans="1:8" ht="15.75" customHeight="1" x14ac:dyDescent="0.3">
      <c r="A796" s="19"/>
      <c r="B796" s="19"/>
      <c r="C796" s="19"/>
      <c r="D796" s="19"/>
      <c r="E796" s="19"/>
      <c r="F796" s="19"/>
      <c r="G796" s="19"/>
      <c r="H796" s="19"/>
    </row>
    <row r="797" spans="1:8" ht="15.75" customHeight="1" x14ac:dyDescent="0.3">
      <c r="A797" s="19"/>
      <c r="B797" s="19"/>
      <c r="C797" s="19"/>
      <c r="D797" s="19"/>
      <c r="E797" s="19"/>
      <c r="F797" s="19"/>
      <c r="G797" s="19"/>
      <c r="H797" s="19"/>
    </row>
    <row r="798" spans="1:8" ht="15.75" customHeight="1" x14ac:dyDescent="0.3">
      <c r="A798" s="19"/>
      <c r="B798" s="19"/>
      <c r="C798" s="19"/>
      <c r="D798" s="19"/>
      <c r="E798" s="19"/>
      <c r="F798" s="19"/>
      <c r="G798" s="19"/>
      <c r="H798" s="19"/>
    </row>
    <row r="799" spans="1:8" ht="15.75" customHeight="1" x14ac:dyDescent="0.3">
      <c r="A799" s="19"/>
      <c r="B799" s="19"/>
      <c r="C799" s="19"/>
      <c r="D799" s="19"/>
      <c r="E799" s="19"/>
      <c r="F799" s="19"/>
      <c r="G799" s="19"/>
      <c r="H799" s="19"/>
    </row>
    <row r="800" spans="1:8" ht="15.75" customHeight="1" x14ac:dyDescent="0.3">
      <c r="A800" s="19"/>
      <c r="B800" s="19"/>
      <c r="C800" s="19"/>
      <c r="D800" s="19"/>
      <c r="E800" s="19"/>
      <c r="F800" s="19"/>
      <c r="G800" s="19"/>
      <c r="H800" s="19"/>
    </row>
    <row r="801" spans="1:8" ht="15.75" customHeight="1" x14ac:dyDescent="0.3">
      <c r="A801" s="19"/>
      <c r="B801" s="19"/>
      <c r="C801" s="19"/>
      <c r="D801" s="19"/>
      <c r="E801" s="19"/>
      <c r="F801" s="19"/>
      <c r="G801" s="19"/>
      <c r="H801" s="19"/>
    </row>
    <row r="802" spans="1:8" ht="15.75" customHeight="1" x14ac:dyDescent="0.3">
      <c r="A802" s="19"/>
      <c r="B802" s="19"/>
      <c r="C802" s="19"/>
      <c r="D802" s="19"/>
      <c r="E802" s="19"/>
      <c r="F802" s="19"/>
      <c r="G802" s="19"/>
      <c r="H802" s="19"/>
    </row>
    <row r="803" spans="1:8" ht="15.75" customHeight="1" x14ac:dyDescent="0.3">
      <c r="A803" s="19"/>
      <c r="B803" s="19"/>
      <c r="C803" s="19"/>
      <c r="D803" s="19"/>
      <c r="E803" s="19"/>
      <c r="F803" s="19"/>
      <c r="G803" s="19"/>
      <c r="H803" s="19"/>
    </row>
    <row r="804" spans="1:8" ht="15.75" customHeight="1" x14ac:dyDescent="0.3">
      <c r="A804" s="19"/>
      <c r="B804" s="19"/>
      <c r="C804" s="19"/>
      <c r="D804" s="19"/>
      <c r="E804" s="19"/>
      <c r="F804" s="19"/>
      <c r="G804" s="19"/>
      <c r="H804" s="19"/>
    </row>
    <row r="805" spans="1:8" ht="15.75" customHeight="1" x14ac:dyDescent="0.3">
      <c r="A805" s="19"/>
      <c r="B805" s="19"/>
      <c r="C805" s="19"/>
      <c r="D805" s="19"/>
      <c r="E805" s="19"/>
      <c r="F805" s="19"/>
      <c r="G805" s="19"/>
      <c r="H805" s="19"/>
    </row>
    <row r="806" spans="1:8" ht="15.75" customHeight="1" x14ac:dyDescent="0.3">
      <c r="A806" s="19"/>
      <c r="B806" s="19"/>
      <c r="C806" s="19"/>
      <c r="D806" s="19"/>
      <c r="E806" s="19"/>
      <c r="F806" s="19"/>
      <c r="G806" s="19"/>
      <c r="H806" s="19"/>
    </row>
    <row r="807" spans="1:8" ht="15.75" customHeight="1" x14ac:dyDescent="0.3">
      <c r="A807" s="19"/>
      <c r="B807" s="19"/>
      <c r="C807" s="19"/>
      <c r="D807" s="19"/>
      <c r="E807" s="19"/>
      <c r="F807" s="19"/>
      <c r="G807" s="19"/>
      <c r="H807" s="19"/>
    </row>
    <row r="808" spans="1:8" ht="15.75" customHeight="1" x14ac:dyDescent="0.3">
      <c r="A808" s="19"/>
      <c r="B808" s="19"/>
      <c r="C808" s="19"/>
      <c r="D808" s="19"/>
      <c r="E808" s="19"/>
      <c r="F808" s="19"/>
      <c r="G808" s="19"/>
      <c r="H808" s="19"/>
    </row>
    <row r="809" spans="1:8" ht="15.75" customHeight="1" x14ac:dyDescent="0.3">
      <c r="A809" s="19"/>
      <c r="B809" s="19"/>
      <c r="C809" s="19"/>
      <c r="D809" s="19"/>
      <c r="E809" s="19"/>
      <c r="F809" s="19"/>
      <c r="G809" s="19"/>
      <c r="H809" s="19"/>
    </row>
    <row r="810" spans="1:8" ht="15.75" customHeight="1" x14ac:dyDescent="0.3">
      <c r="A810" s="19"/>
      <c r="B810" s="19"/>
      <c r="C810" s="19"/>
      <c r="D810" s="19"/>
      <c r="E810" s="19"/>
      <c r="F810" s="19"/>
      <c r="G810" s="19"/>
      <c r="H810" s="19"/>
    </row>
    <row r="811" spans="1:8" ht="15.75" customHeight="1" x14ac:dyDescent="0.3">
      <c r="A811" s="19"/>
      <c r="B811" s="19"/>
      <c r="C811" s="19"/>
      <c r="D811" s="19"/>
      <c r="E811" s="19"/>
      <c r="F811" s="19"/>
      <c r="G811" s="19"/>
      <c r="H811" s="19"/>
    </row>
    <row r="812" spans="1:8" ht="15.75" customHeight="1" x14ac:dyDescent="0.3">
      <c r="A812" s="19"/>
      <c r="B812" s="19"/>
      <c r="C812" s="19"/>
      <c r="D812" s="19"/>
      <c r="E812" s="19"/>
      <c r="F812" s="19"/>
      <c r="G812" s="19"/>
      <c r="H812" s="19"/>
    </row>
    <row r="813" spans="1:8" ht="15.75" customHeight="1" x14ac:dyDescent="0.3">
      <c r="A813" s="19"/>
      <c r="B813" s="19"/>
      <c r="C813" s="19"/>
      <c r="D813" s="19"/>
      <c r="E813" s="19"/>
      <c r="F813" s="19"/>
      <c r="G813" s="19"/>
      <c r="H813" s="19"/>
    </row>
    <row r="814" spans="1:8" ht="15.75" customHeight="1" x14ac:dyDescent="0.3">
      <c r="A814" s="19"/>
      <c r="B814" s="19"/>
      <c r="C814" s="19"/>
      <c r="D814" s="19"/>
      <c r="E814" s="19"/>
      <c r="F814" s="19"/>
      <c r="G814" s="19"/>
      <c r="H814" s="19"/>
    </row>
    <row r="815" spans="1:8" ht="15.75" customHeight="1" x14ac:dyDescent="0.3">
      <c r="A815" s="19"/>
      <c r="B815" s="19"/>
      <c r="C815" s="19"/>
      <c r="D815" s="19"/>
      <c r="E815" s="19"/>
      <c r="F815" s="19"/>
      <c r="G815" s="19"/>
      <c r="H815" s="19"/>
    </row>
    <row r="816" spans="1:8" ht="15.75" customHeight="1" x14ac:dyDescent="0.3">
      <c r="A816" s="19"/>
      <c r="B816" s="19"/>
      <c r="C816" s="19"/>
      <c r="D816" s="19"/>
      <c r="E816" s="19"/>
      <c r="F816" s="19"/>
      <c r="G816" s="19"/>
      <c r="H816" s="19"/>
    </row>
    <row r="817" spans="1:8" ht="15.75" customHeight="1" x14ac:dyDescent="0.3">
      <c r="A817" s="19"/>
      <c r="B817" s="19"/>
      <c r="C817" s="19"/>
      <c r="D817" s="19"/>
      <c r="E817" s="19"/>
      <c r="F817" s="19"/>
      <c r="G817" s="19"/>
      <c r="H817" s="19"/>
    </row>
    <row r="818" spans="1:8" ht="15.75" customHeight="1" x14ac:dyDescent="0.3">
      <c r="A818" s="19"/>
      <c r="B818" s="19"/>
      <c r="C818" s="19"/>
      <c r="D818" s="19"/>
      <c r="E818" s="19"/>
      <c r="F818" s="19"/>
      <c r="G818" s="19"/>
      <c r="H818" s="19"/>
    </row>
    <row r="819" spans="1:8" ht="15.75" customHeight="1" x14ac:dyDescent="0.3">
      <c r="A819" s="19"/>
      <c r="B819" s="19"/>
      <c r="C819" s="19"/>
      <c r="D819" s="19"/>
      <c r="E819" s="19"/>
      <c r="F819" s="19"/>
      <c r="G819" s="19"/>
      <c r="H819" s="19"/>
    </row>
    <row r="820" spans="1:8" ht="15.75" customHeight="1" x14ac:dyDescent="0.3">
      <c r="A820" s="19"/>
      <c r="B820" s="19"/>
      <c r="C820" s="19"/>
      <c r="D820" s="19"/>
      <c r="E820" s="19"/>
      <c r="F820" s="19"/>
      <c r="G820" s="19"/>
      <c r="H820" s="19"/>
    </row>
    <row r="821" spans="1:8" ht="15.75" customHeight="1" x14ac:dyDescent="0.3">
      <c r="A821" s="19"/>
      <c r="B821" s="19"/>
      <c r="C821" s="19"/>
      <c r="D821" s="19"/>
      <c r="E821" s="19"/>
      <c r="F821" s="19"/>
      <c r="G821" s="19"/>
      <c r="H821" s="19"/>
    </row>
    <row r="822" spans="1:8" ht="15.75" customHeight="1" x14ac:dyDescent="0.3">
      <c r="A822" s="19"/>
      <c r="B822" s="19"/>
      <c r="C822" s="19"/>
      <c r="D822" s="19"/>
      <c r="E822" s="19"/>
      <c r="F822" s="19"/>
      <c r="G822" s="19"/>
      <c r="H822" s="19"/>
    </row>
    <row r="823" spans="1:8" ht="15.75" customHeight="1" x14ac:dyDescent="0.3">
      <c r="A823" s="19"/>
      <c r="B823" s="19"/>
      <c r="C823" s="19"/>
      <c r="D823" s="19"/>
      <c r="E823" s="19"/>
      <c r="F823" s="19"/>
      <c r="G823" s="19"/>
      <c r="H823" s="19"/>
    </row>
    <row r="824" spans="1:8" ht="15.75" customHeight="1" x14ac:dyDescent="0.3">
      <c r="A824" s="19"/>
      <c r="B824" s="19"/>
      <c r="C824" s="19"/>
      <c r="D824" s="19"/>
      <c r="E824" s="19"/>
      <c r="F824" s="19"/>
      <c r="G824" s="19"/>
      <c r="H824" s="19"/>
    </row>
    <row r="825" spans="1:8" ht="15.75" customHeight="1" x14ac:dyDescent="0.3">
      <c r="A825" s="19"/>
      <c r="B825" s="19"/>
      <c r="C825" s="19"/>
      <c r="D825" s="19"/>
      <c r="E825" s="19"/>
      <c r="F825" s="19"/>
      <c r="G825" s="19"/>
      <c r="H825" s="19"/>
    </row>
    <row r="826" spans="1:8" ht="15.75" customHeight="1" x14ac:dyDescent="0.3">
      <c r="A826" s="19"/>
      <c r="B826" s="19"/>
      <c r="C826" s="19"/>
      <c r="D826" s="19"/>
      <c r="E826" s="19"/>
      <c r="F826" s="19"/>
      <c r="G826" s="19"/>
      <c r="H826" s="19"/>
    </row>
    <row r="827" spans="1:8" ht="15.75" customHeight="1" x14ac:dyDescent="0.3">
      <c r="A827" s="19"/>
      <c r="B827" s="19"/>
      <c r="C827" s="19"/>
      <c r="D827" s="19"/>
      <c r="E827" s="19"/>
      <c r="F827" s="19"/>
      <c r="G827" s="19"/>
      <c r="H827" s="19"/>
    </row>
    <row r="828" spans="1:8" ht="15.75" customHeight="1" x14ac:dyDescent="0.3">
      <c r="A828" s="19"/>
      <c r="B828" s="19"/>
      <c r="C828" s="19"/>
      <c r="D828" s="19"/>
      <c r="E828" s="19"/>
      <c r="F828" s="19"/>
      <c r="G828" s="19"/>
      <c r="H828" s="19"/>
    </row>
    <row r="829" spans="1:8" ht="15.75" customHeight="1" x14ac:dyDescent="0.3">
      <c r="A829" s="19"/>
      <c r="B829" s="19"/>
      <c r="C829" s="19"/>
      <c r="D829" s="19"/>
      <c r="E829" s="19"/>
      <c r="F829" s="19"/>
      <c r="G829" s="19"/>
      <c r="H829" s="19"/>
    </row>
    <row r="830" spans="1:8" ht="15.75" customHeight="1" x14ac:dyDescent="0.3">
      <c r="A830" s="19"/>
      <c r="B830" s="19"/>
      <c r="C830" s="19"/>
      <c r="D830" s="19"/>
      <c r="E830" s="19"/>
      <c r="F830" s="19"/>
      <c r="G830" s="19"/>
      <c r="H830" s="19"/>
    </row>
    <row r="831" spans="1:8" ht="15.75" customHeight="1" x14ac:dyDescent="0.3">
      <c r="A831" s="19"/>
      <c r="B831" s="19"/>
      <c r="C831" s="19"/>
      <c r="D831" s="19"/>
      <c r="E831" s="19"/>
      <c r="F831" s="19"/>
      <c r="G831" s="19"/>
      <c r="H831" s="19"/>
    </row>
    <row r="832" spans="1:8" ht="15.75" customHeight="1" x14ac:dyDescent="0.3">
      <c r="A832" s="19"/>
      <c r="B832" s="19"/>
      <c r="C832" s="19"/>
      <c r="D832" s="19"/>
      <c r="E832" s="19"/>
      <c r="F832" s="19"/>
      <c r="G832" s="19"/>
      <c r="H832" s="19"/>
    </row>
    <row r="833" spans="1:8" ht="15.75" customHeight="1" x14ac:dyDescent="0.3">
      <c r="A833" s="19"/>
      <c r="B833" s="19"/>
      <c r="C833" s="19"/>
      <c r="D833" s="19"/>
      <c r="E833" s="19"/>
      <c r="F833" s="19"/>
      <c r="G833" s="19"/>
      <c r="H833" s="19"/>
    </row>
    <row r="834" spans="1:8" ht="15.75" customHeight="1" x14ac:dyDescent="0.3">
      <c r="A834" s="19"/>
      <c r="B834" s="19"/>
      <c r="C834" s="19"/>
      <c r="D834" s="19"/>
      <c r="E834" s="19"/>
      <c r="F834" s="19"/>
      <c r="G834" s="19"/>
      <c r="H834" s="19"/>
    </row>
    <row r="835" spans="1:8" ht="15.75" customHeight="1" x14ac:dyDescent="0.3">
      <c r="A835" s="19"/>
      <c r="B835" s="19"/>
      <c r="C835" s="19"/>
      <c r="D835" s="19"/>
      <c r="E835" s="19"/>
      <c r="F835" s="19"/>
      <c r="G835" s="19"/>
      <c r="H835" s="19"/>
    </row>
    <row r="836" spans="1:8" ht="15.75" customHeight="1" x14ac:dyDescent="0.3">
      <c r="A836" s="19"/>
      <c r="B836" s="19"/>
      <c r="C836" s="19"/>
      <c r="D836" s="19"/>
      <c r="E836" s="19"/>
      <c r="F836" s="19"/>
      <c r="G836" s="19"/>
      <c r="H836" s="19"/>
    </row>
    <row r="837" spans="1:8" ht="15.75" customHeight="1" x14ac:dyDescent="0.3">
      <c r="A837" s="19"/>
      <c r="B837" s="19"/>
      <c r="C837" s="19"/>
      <c r="D837" s="19"/>
      <c r="E837" s="19"/>
      <c r="F837" s="19"/>
      <c r="G837" s="19"/>
      <c r="H837" s="19"/>
    </row>
    <row r="838" spans="1:8" ht="15.75" customHeight="1" x14ac:dyDescent="0.3">
      <c r="A838" s="19"/>
      <c r="B838" s="19"/>
      <c r="C838" s="19"/>
      <c r="D838" s="19"/>
      <c r="E838" s="19"/>
      <c r="F838" s="19"/>
      <c r="G838" s="19"/>
      <c r="H838" s="19"/>
    </row>
    <row r="839" spans="1:8" ht="15.75" customHeight="1" x14ac:dyDescent="0.3">
      <c r="A839" s="19"/>
      <c r="B839" s="19"/>
      <c r="C839" s="19"/>
      <c r="D839" s="19"/>
      <c r="E839" s="19"/>
      <c r="F839" s="19"/>
      <c r="G839" s="19"/>
      <c r="H839" s="19"/>
    </row>
    <row r="840" spans="1:8" ht="15.75" customHeight="1" x14ac:dyDescent="0.3">
      <c r="A840" s="19"/>
      <c r="B840" s="19"/>
      <c r="C840" s="19"/>
      <c r="D840" s="19"/>
      <c r="E840" s="19"/>
      <c r="F840" s="19"/>
      <c r="G840" s="19"/>
      <c r="H840" s="19"/>
    </row>
    <row r="841" spans="1:8" ht="15.75" customHeight="1" x14ac:dyDescent="0.3">
      <c r="A841" s="19"/>
      <c r="B841" s="19"/>
      <c r="C841" s="19"/>
      <c r="D841" s="19"/>
      <c r="E841" s="19"/>
      <c r="F841" s="19"/>
      <c r="G841" s="19"/>
      <c r="H841" s="19"/>
    </row>
    <row r="842" spans="1:8" ht="15.75" customHeight="1" x14ac:dyDescent="0.3">
      <c r="A842" s="19"/>
      <c r="B842" s="19"/>
      <c r="C842" s="19"/>
      <c r="D842" s="19"/>
      <c r="E842" s="19"/>
      <c r="F842" s="19"/>
      <c r="G842" s="19"/>
      <c r="H842" s="19"/>
    </row>
    <row r="843" spans="1:8" ht="15.75" customHeight="1" x14ac:dyDescent="0.3">
      <c r="A843" s="19"/>
      <c r="B843" s="19"/>
      <c r="C843" s="19"/>
      <c r="D843" s="19"/>
      <c r="E843" s="19"/>
      <c r="F843" s="19"/>
      <c r="G843" s="19"/>
      <c r="H843" s="19"/>
    </row>
    <row r="844" spans="1:8" ht="15.75" customHeight="1" x14ac:dyDescent="0.3">
      <c r="A844" s="19"/>
      <c r="B844" s="19"/>
      <c r="C844" s="19"/>
      <c r="D844" s="19"/>
      <c r="E844" s="19"/>
      <c r="F844" s="19"/>
      <c r="G844" s="19"/>
      <c r="H844" s="19"/>
    </row>
    <row r="845" spans="1:8" ht="15.75" customHeight="1" x14ac:dyDescent="0.3">
      <c r="A845" s="19"/>
      <c r="B845" s="19"/>
      <c r="C845" s="19"/>
      <c r="D845" s="19"/>
      <c r="E845" s="19"/>
      <c r="F845" s="19"/>
      <c r="G845" s="19"/>
      <c r="H845" s="19"/>
    </row>
    <row r="846" spans="1:8" ht="15.75" customHeight="1" x14ac:dyDescent="0.3">
      <c r="A846" s="19"/>
      <c r="B846" s="19"/>
      <c r="C846" s="19"/>
      <c r="D846" s="19"/>
      <c r="E846" s="19"/>
      <c r="F846" s="19"/>
      <c r="G846" s="19"/>
      <c r="H846" s="19"/>
    </row>
    <row r="847" spans="1:8" ht="15.75" customHeight="1" x14ac:dyDescent="0.3">
      <c r="A847" s="19"/>
      <c r="B847" s="19"/>
      <c r="C847" s="19"/>
      <c r="D847" s="19"/>
      <c r="E847" s="19"/>
      <c r="F847" s="19"/>
      <c r="G847" s="19"/>
      <c r="H847" s="19"/>
    </row>
    <row r="848" spans="1:8" ht="15.75" customHeight="1" x14ac:dyDescent="0.3">
      <c r="A848" s="19"/>
      <c r="B848" s="19"/>
      <c r="C848" s="19"/>
      <c r="D848" s="19"/>
      <c r="E848" s="19"/>
      <c r="F848" s="19"/>
      <c r="G848" s="19"/>
      <c r="H848" s="19"/>
    </row>
    <row r="849" spans="1:8" ht="15.75" customHeight="1" x14ac:dyDescent="0.3">
      <c r="A849" s="19"/>
      <c r="B849" s="19"/>
      <c r="C849" s="19"/>
      <c r="D849" s="19"/>
      <c r="E849" s="19"/>
      <c r="F849" s="19"/>
      <c r="G849" s="19"/>
      <c r="H849" s="19"/>
    </row>
    <row r="850" spans="1:8" ht="15.75" customHeight="1" x14ac:dyDescent="0.3">
      <c r="A850" s="19"/>
      <c r="B850" s="19"/>
      <c r="C850" s="19"/>
      <c r="D850" s="19"/>
      <c r="E850" s="19"/>
      <c r="F850" s="19"/>
      <c r="G850" s="19"/>
      <c r="H850" s="19"/>
    </row>
    <row r="851" spans="1:8" ht="15.75" customHeight="1" x14ac:dyDescent="0.3">
      <c r="A851" s="19"/>
      <c r="B851" s="19"/>
      <c r="C851" s="19"/>
      <c r="D851" s="19"/>
      <c r="E851" s="19"/>
      <c r="F851" s="19"/>
      <c r="G851" s="19"/>
      <c r="H851" s="19"/>
    </row>
    <row r="852" spans="1:8" ht="15.75" customHeight="1" x14ac:dyDescent="0.3">
      <c r="A852" s="19"/>
      <c r="B852" s="19"/>
      <c r="C852" s="19"/>
      <c r="D852" s="19"/>
      <c r="E852" s="19"/>
      <c r="F852" s="19"/>
      <c r="G852" s="19"/>
      <c r="H852" s="19"/>
    </row>
    <row r="853" spans="1:8" ht="15.75" customHeight="1" x14ac:dyDescent="0.3">
      <c r="A853" s="19"/>
      <c r="B853" s="19"/>
      <c r="C853" s="19"/>
      <c r="D853" s="19"/>
      <c r="E853" s="19"/>
      <c r="F853" s="19"/>
      <c r="G853" s="19"/>
      <c r="H853" s="19"/>
    </row>
    <row r="854" spans="1:8" ht="15.75" customHeight="1" x14ac:dyDescent="0.3">
      <c r="A854" s="19"/>
      <c r="B854" s="19"/>
      <c r="C854" s="19"/>
      <c r="D854" s="19"/>
      <c r="E854" s="19"/>
      <c r="F854" s="19"/>
      <c r="G854" s="19"/>
      <c r="H854" s="19"/>
    </row>
    <row r="855" spans="1:8" ht="15.75" customHeight="1" x14ac:dyDescent="0.3">
      <c r="A855" s="19"/>
      <c r="B855" s="19"/>
      <c r="C855" s="19"/>
      <c r="D855" s="19"/>
      <c r="E855" s="19"/>
      <c r="F855" s="19"/>
      <c r="G855" s="19"/>
      <c r="H855" s="19"/>
    </row>
    <row r="856" spans="1:8" ht="15.75" customHeight="1" x14ac:dyDescent="0.3">
      <c r="A856" s="19"/>
      <c r="B856" s="19"/>
      <c r="C856" s="19"/>
      <c r="D856" s="19"/>
      <c r="E856" s="19"/>
      <c r="F856" s="19"/>
      <c r="G856" s="19"/>
      <c r="H856" s="19"/>
    </row>
    <row r="857" spans="1:8" ht="15.75" customHeight="1" x14ac:dyDescent="0.3">
      <c r="A857" s="19"/>
      <c r="B857" s="19"/>
      <c r="C857" s="19"/>
      <c r="D857" s="19"/>
      <c r="E857" s="19"/>
      <c r="F857" s="19"/>
      <c r="G857" s="19"/>
      <c r="H857" s="19"/>
    </row>
    <row r="858" spans="1:8" ht="15.75" customHeight="1" x14ac:dyDescent="0.3">
      <c r="A858" s="19"/>
      <c r="B858" s="19"/>
      <c r="C858" s="19"/>
      <c r="D858" s="19"/>
      <c r="E858" s="19"/>
      <c r="F858" s="19"/>
      <c r="G858" s="19"/>
      <c r="H858" s="19"/>
    </row>
    <row r="859" spans="1:8" ht="15.75" customHeight="1" x14ac:dyDescent="0.3">
      <c r="A859" s="19"/>
      <c r="B859" s="19"/>
      <c r="C859" s="19"/>
      <c r="D859" s="19"/>
      <c r="E859" s="19"/>
      <c r="F859" s="19"/>
      <c r="G859" s="19"/>
      <c r="H859" s="19"/>
    </row>
    <row r="860" spans="1:8" ht="15.75" customHeight="1" x14ac:dyDescent="0.3">
      <c r="A860" s="19"/>
      <c r="B860" s="19"/>
      <c r="C860" s="19"/>
      <c r="D860" s="19"/>
      <c r="E860" s="19"/>
      <c r="F860" s="19"/>
      <c r="G860" s="19"/>
      <c r="H860" s="19"/>
    </row>
    <row r="861" spans="1:8" ht="15.75" customHeight="1" x14ac:dyDescent="0.3">
      <c r="A861" s="19"/>
      <c r="B861" s="19"/>
      <c r="C861" s="19"/>
      <c r="D861" s="19"/>
      <c r="E861" s="19"/>
      <c r="F861" s="19"/>
      <c r="G861" s="19"/>
      <c r="H861" s="19"/>
    </row>
    <row r="862" spans="1:8" ht="15.75" customHeight="1" x14ac:dyDescent="0.3">
      <c r="A862" s="19"/>
      <c r="B862" s="19"/>
      <c r="C862" s="19"/>
      <c r="D862" s="19"/>
      <c r="E862" s="19"/>
      <c r="F862" s="19"/>
      <c r="G862" s="19"/>
      <c r="H862" s="19"/>
    </row>
    <row r="863" spans="1:8" ht="15.75" customHeight="1" x14ac:dyDescent="0.3">
      <c r="A863" s="19"/>
      <c r="B863" s="19"/>
      <c r="C863" s="19"/>
      <c r="D863" s="19"/>
      <c r="E863" s="19"/>
      <c r="F863" s="19"/>
      <c r="G863" s="19"/>
      <c r="H863" s="19"/>
    </row>
    <row r="864" spans="1:8" ht="15.75" customHeight="1" x14ac:dyDescent="0.3">
      <c r="A864" s="19"/>
      <c r="B864" s="19"/>
      <c r="C864" s="19"/>
      <c r="D864" s="19"/>
      <c r="E864" s="19"/>
      <c r="F864" s="19"/>
      <c r="G864" s="19"/>
      <c r="H864" s="19"/>
    </row>
    <row r="865" spans="1:8" ht="15.75" customHeight="1" x14ac:dyDescent="0.3">
      <c r="A865" s="19"/>
      <c r="B865" s="19"/>
      <c r="C865" s="19"/>
      <c r="D865" s="19"/>
      <c r="E865" s="19"/>
      <c r="F865" s="19"/>
      <c r="G865" s="19"/>
      <c r="H865" s="19"/>
    </row>
    <row r="866" spans="1:8" ht="15.75" customHeight="1" x14ac:dyDescent="0.3">
      <c r="A866" s="19"/>
      <c r="B866" s="19"/>
      <c r="C866" s="19"/>
      <c r="D866" s="19"/>
      <c r="E866" s="19"/>
      <c r="F866" s="19"/>
      <c r="G866" s="19"/>
      <c r="H866" s="19"/>
    </row>
    <row r="867" spans="1:8" ht="15.75" customHeight="1" x14ac:dyDescent="0.3">
      <c r="A867" s="19"/>
      <c r="B867" s="19"/>
      <c r="C867" s="19"/>
      <c r="D867" s="19"/>
      <c r="E867" s="19"/>
      <c r="F867" s="19"/>
      <c r="G867" s="19"/>
      <c r="H867" s="19"/>
    </row>
    <row r="868" spans="1:8" ht="15.75" customHeight="1" x14ac:dyDescent="0.3">
      <c r="A868" s="19"/>
      <c r="B868" s="19"/>
      <c r="C868" s="19"/>
      <c r="D868" s="19"/>
      <c r="E868" s="19"/>
      <c r="F868" s="19"/>
      <c r="G868" s="19"/>
      <c r="H868" s="19"/>
    </row>
    <row r="869" spans="1:8" ht="15.75" customHeight="1" x14ac:dyDescent="0.3">
      <c r="A869" s="19"/>
      <c r="B869" s="19"/>
      <c r="C869" s="19"/>
      <c r="D869" s="19"/>
      <c r="E869" s="19"/>
      <c r="F869" s="19"/>
      <c r="G869" s="19"/>
      <c r="H869" s="19"/>
    </row>
    <row r="870" spans="1:8" ht="15.75" customHeight="1" x14ac:dyDescent="0.3">
      <c r="A870" s="19"/>
      <c r="B870" s="19"/>
      <c r="C870" s="19"/>
      <c r="D870" s="19"/>
      <c r="E870" s="19"/>
      <c r="F870" s="19"/>
      <c r="G870" s="19"/>
      <c r="H870" s="19"/>
    </row>
    <row r="871" spans="1:8" ht="15.75" customHeight="1" x14ac:dyDescent="0.3">
      <c r="A871" s="19"/>
      <c r="B871" s="19"/>
      <c r="C871" s="19"/>
      <c r="D871" s="19"/>
      <c r="E871" s="19"/>
      <c r="F871" s="19"/>
      <c r="G871" s="19"/>
      <c r="H871" s="19"/>
    </row>
    <row r="872" spans="1:8" ht="15.75" customHeight="1" x14ac:dyDescent="0.3">
      <c r="A872" s="19"/>
      <c r="B872" s="19"/>
      <c r="C872" s="19"/>
      <c r="D872" s="19"/>
      <c r="E872" s="19"/>
      <c r="F872" s="19"/>
      <c r="G872" s="19"/>
      <c r="H872" s="19"/>
    </row>
    <row r="873" spans="1:8" ht="15.75" customHeight="1" x14ac:dyDescent="0.3">
      <c r="A873" s="19"/>
      <c r="B873" s="19"/>
      <c r="C873" s="19"/>
      <c r="D873" s="19"/>
      <c r="E873" s="19"/>
      <c r="F873" s="19"/>
      <c r="G873" s="19"/>
      <c r="H873" s="19"/>
    </row>
    <row r="874" spans="1:8" ht="15.75" customHeight="1" x14ac:dyDescent="0.3">
      <c r="A874" s="19"/>
      <c r="B874" s="19"/>
      <c r="C874" s="19"/>
      <c r="D874" s="19"/>
      <c r="E874" s="19"/>
      <c r="F874" s="19"/>
      <c r="G874" s="19"/>
      <c r="H874" s="19"/>
    </row>
    <row r="875" spans="1:8" ht="15.75" customHeight="1" x14ac:dyDescent="0.3">
      <c r="A875" s="19"/>
      <c r="B875" s="19"/>
      <c r="C875" s="19"/>
      <c r="D875" s="19"/>
      <c r="E875" s="19"/>
      <c r="F875" s="19"/>
      <c r="G875" s="19"/>
      <c r="H875" s="19"/>
    </row>
    <row r="876" spans="1:8" ht="15.75" customHeight="1" x14ac:dyDescent="0.3">
      <c r="A876" s="19"/>
      <c r="B876" s="19"/>
      <c r="C876" s="19"/>
      <c r="D876" s="19"/>
      <c r="E876" s="19"/>
      <c r="F876" s="19"/>
      <c r="G876" s="19"/>
      <c r="H876" s="19"/>
    </row>
    <row r="877" spans="1:8" ht="15.75" customHeight="1" x14ac:dyDescent="0.3">
      <c r="A877" s="19"/>
      <c r="B877" s="19"/>
      <c r="C877" s="19"/>
      <c r="D877" s="19"/>
      <c r="E877" s="19"/>
      <c r="F877" s="19"/>
      <c r="G877" s="19"/>
      <c r="H877" s="19"/>
    </row>
    <row r="878" spans="1:8" ht="15.75" customHeight="1" x14ac:dyDescent="0.3">
      <c r="A878" s="19"/>
      <c r="B878" s="19"/>
      <c r="C878" s="19"/>
      <c r="D878" s="19"/>
      <c r="E878" s="19"/>
      <c r="F878" s="19"/>
      <c r="G878" s="19"/>
      <c r="H878" s="19"/>
    </row>
    <row r="879" spans="1:8" ht="15.75" customHeight="1" x14ac:dyDescent="0.3">
      <c r="A879" s="19"/>
      <c r="B879" s="19"/>
      <c r="C879" s="19"/>
      <c r="D879" s="19"/>
      <c r="E879" s="19"/>
      <c r="F879" s="19"/>
      <c r="G879" s="19"/>
      <c r="H879" s="19"/>
    </row>
    <row r="880" spans="1:8" ht="15.75" customHeight="1" x14ac:dyDescent="0.3">
      <c r="A880" s="19"/>
      <c r="B880" s="19"/>
      <c r="C880" s="19"/>
      <c r="D880" s="19"/>
      <c r="E880" s="19"/>
      <c r="F880" s="19"/>
      <c r="G880" s="19"/>
      <c r="H880" s="19"/>
    </row>
    <row r="881" spans="1:8" ht="15.75" customHeight="1" x14ac:dyDescent="0.3">
      <c r="A881" s="19"/>
      <c r="B881" s="19"/>
      <c r="C881" s="19"/>
      <c r="D881" s="19"/>
      <c r="E881" s="19"/>
      <c r="F881" s="19"/>
      <c r="G881" s="19"/>
      <c r="H881" s="19"/>
    </row>
    <row r="882" spans="1:8" ht="15.75" customHeight="1" x14ac:dyDescent="0.3">
      <c r="A882" s="19"/>
      <c r="B882" s="19"/>
      <c r="C882" s="19"/>
      <c r="D882" s="19"/>
      <c r="E882" s="19"/>
      <c r="F882" s="19"/>
      <c r="G882" s="19"/>
      <c r="H882" s="19"/>
    </row>
    <row r="883" spans="1:8" ht="15.75" customHeight="1" x14ac:dyDescent="0.3">
      <c r="A883" s="19"/>
      <c r="B883" s="19"/>
      <c r="C883" s="19"/>
      <c r="D883" s="19"/>
      <c r="E883" s="19"/>
      <c r="F883" s="19"/>
      <c r="G883" s="19"/>
      <c r="H883" s="19"/>
    </row>
    <row r="884" spans="1:8" ht="15.75" customHeight="1" x14ac:dyDescent="0.3">
      <c r="A884" s="19"/>
      <c r="B884" s="19"/>
      <c r="C884" s="19"/>
      <c r="D884" s="19"/>
      <c r="E884" s="19"/>
      <c r="F884" s="19"/>
      <c r="G884" s="19"/>
      <c r="H884" s="19"/>
    </row>
    <row r="885" spans="1:8" ht="15.75" customHeight="1" x14ac:dyDescent="0.3">
      <c r="A885" s="19"/>
      <c r="B885" s="19"/>
      <c r="C885" s="19"/>
      <c r="D885" s="19"/>
      <c r="E885" s="19"/>
      <c r="F885" s="19"/>
      <c r="G885" s="19"/>
      <c r="H885" s="19"/>
    </row>
    <row r="886" spans="1:8" ht="15.75" customHeight="1" x14ac:dyDescent="0.3">
      <c r="A886" s="19"/>
      <c r="B886" s="19"/>
      <c r="C886" s="19"/>
      <c r="D886" s="19"/>
      <c r="E886" s="19"/>
      <c r="F886" s="19"/>
      <c r="G886" s="19"/>
      <c r="H886" s="19"/>
    </row>
    <row r="887" spans="1:8" ht="15.75" customHeight="1" x14ac:dyDescent="0.3">
      <c r="A887" s="19"/>
      <c r="B887" s="19"/>
      <c r="C887" s="19"/>
      <c r="D887" s="19"/>
      <c r="E887" s="19"/>
      <c r="F887" s="19"/>
      <c r="G887" s="19"/>
      <c r="H887" s="19"/>
    </row>
    <row r="888" spans="1:8" ht="15.75" customHeight="1" x14ac:dyDescent="0.3">
      <c r="A888" s="19"/>
      <c r="B888" s="19"/>
      <c r="C888" s="19"/>
      <c r="D888" s="19"/>
      <c r="E888" s="19"/>
      <c r="F888" s="19"/>
      <c r="G888" s="19"/>
      <c r="H888" s="19"/>
    </row>
    <row r="889" spans="1:8" ht="15.75" customHeight="1" x14ac:dyDescent="0.3">
      <c r="A889" s="19"/>
      <c r="B889" s="19"/>
      <c r="C889" s="19"/>
      <c r="D889" s="19"/>
      <c r="E889" s="19"/>
      <c r="F889" s="19"/>
      <c r="G889" s="19"/>
      <c r="H889" s="19"/>
    </row>
    <row r="890" spans="1:8" ht="15.75" customHeight="1" x14ac:dyDescent="0.3">
      <c r="A890" s="19"/>
      <c r="B890" s="19"/>
      <c r="C890" s="19"/>
      <c r="D890" s="19"/>
      <c r="E890" s="19"/>
      <c r="F890" s="19"/>
      <c r="G890" s="19"/>
      <c r="H890" s="19"/>
    </row>
    <row r="891" spans="1:8" ht="15.75" customHeight="1" x14ac:dyDescent="0.3">
      <c r="A891" s="19"/>
      <c r="B891" s="19"/>
      <c r="C891" s="19"/>
      <c r="D891" s="19"/>
      <c r="E891" s="19"/>
      <c r="F891" s="19"/>
      <c r="G891" s="19"/>
      <c r="H891" s="19"/>
    </row>
    <row r="892" spans="1:8" ht="15.75" customHeight="1" x14ac:dyDescent="0.3">
      <c r="A892" s="19"/>
      <c r="B892" s="19"/>
      <c r="C892" s="19"/>
      <c r="D892" s="19"/>
      <c r="E892" s="19"/>
      <c r="F892" s="19"/>
      <c r="G892" s="19"/>
      <c r="H892" s="19"/>
    </row>
    <row r="893" spans="1:8" ht="15.75" customHeight="1" x14ac:dyDescent="0.3">
      <c r="A893" s="19"/>
      <c r="B893" s="19"/>
      <c r="C893" s="19"/>
      <c r="D893" s="19"/>
      <c r="E893" s="19"/>
      <c r="F893" s="19"/>
      <c r="G893" s="19"/>
      <c r="H893" s="19"/>
    </row>
    <row r="894" spans="1:8" ht="15.75" customHeight="1" x14ac:dyDescent="0.3">
      <c r="A894" s="19"/>
      <c r="B894" s="19"/>
      <c r="C894" s="19"/>
      <c r="D894" s="19"/>
      <c r="E894" s="19"/>
      <c r="F894" s="19"/>
      <c r="G894" s="19"/>
      <c r="H894" s="19"/>
    </row>
    <row r="895" spans="1:8" ht="15.75" customHeight="1" x14ac:dyDescent="0.3">
      <c r="A895" s="19"/>
      <c r="B895" s="19"/>
      <c r="C895" s="19"/>
      <c r="D895" s="19"/>
      <c r="E895" s="19"/>
      <c r="F895" s="19"/>
      <c r="G895" s="19"/>
      <c r="H895" s="19"/>
    </row>
    <row r="896" spans="1:8" ht="15.75" customHeight="1" x14ac:dyDescent="0.3">
      <c r="A896" s="19"/>
      <c r="B896" s="19"/>
      <c r="C896" s="19"/>
      <c r="D896" s="19"/>
      <c r="E896" s="19"/>
      <c r="F896" s="19"/>
      <c r="G896" s="19"/>
      <c r="H896" s="19"/>
    </row>
    <row r="897" spans="1:8" ht="15.75" customHeight="1" x14ac:dyDescent="0.3">
      <c r="A897" s="19"/>
      <c r="B897" s="19"/>
      <c r="C897" s="19"/>
      <c r="D897" s="19"/>
      <c r="E897" s="19"/>
      <c r="F897" s="19"/>
      <c r="G897" s="19"/>
      <c r="H897" s="19"/>
    </row>
    <row r="898" spans="1:8" ht="15.75" customHeight="1" x14ac:dyDescent="0.3">
      <c r="A898" s="19"/>
      <c r="B898" s="19"/>
      <c r="C898" s="19"/>
      <c r="D898" s="19"/>
      <c r="E898" s="19"/>
      <c r="F898" s="19"/>
      <c r="G898" s="19"/>
      <c r="H898" s="19"/>
    </row>
    <row r="899" spans="1:8" ht="15.75" customHeight="1" x14ac:dyDescent="0.3">
      <c r="A899" s="19"/>
      <c r="B899" s="19"/>
      <c r="C899" s="19"/>
      <c r="D899" s="19"/>
      <c r="E899" s="19"/>
      <c r="F899" s="19"/>
      <c r="G899" s="19"/>
      <c r="H899" s="19"/>
    </row>
    <row r="900" spans="1:8" ht="15.75" customHeight="1" x14ac:dyDescent="0.3">
      <c r="A900" s="19"/>
      <c r="B900" s="19"/>
      <c r="C900" s="19"/>
      <c r="D900" s="19"/>
      <c r="E900" s="19"/>
      <c r="F900" s="19"/>
      <c r="G900" s="19"/>
      <c r="H900" s="19"/>
    </row>
    <row r="901" spans="1:8" ht="15.75" customHeight="1" x14ac:dyDescent="0.3">
      <c r="A901" s="19"/>
      <c r="B901" s="19"/>
      <c r="C901" s="19"/>
      <c r="D901" s="19"/>
      <c r="E901" s="19"/>
      <c r="F901" s="19"/>
      <c r="G901" s="19"/>
      <c r="H901" s="19"/>
    </row>
    <row r="902" spans="1:8" ht="15.75" customHeight="1" x14ac:dyDescent="0.3">
      <c r="A902" s="19"/>
      <c r="B902" s="19"/>
      <c r="C902" s="19"/>
      <c r="D902" s="19"/>
      <c r="E902" s="19"/>
      <c r="F902" s="19"/>
      <c r="G902" s="19"/>
      <c r="H902" s="19"/>
    </row>
    <row r="903" spans="1:8" ht="15.75" customHeight="1" x14ac:dyDescent="0.3">
      <c r="A903" s="19"/>
      <c r="B903" s="19"/>
      <c r="C903" s="19"/>
      <c r="D903" s="19"/>
      <c r="E903" s="19"/>
      <c r="F903" s="19"/>
      <c r="G903" s="19"/>
      <c r="H903" s="19"/>
    </row>
    <row r="904" spans="1:8" ht="15.75" customHeight="1" x14ac:dyDescent="0.3">
      <c r="A904" s="19"/>
      <c r="B904" s="19"/>
      <c r="C904" s="19"/>
      <c r="D904" s="19"/>
      <c r="E904" s="19"/>
      <c r="F904" s="19"/>
      <c r="G904" s="19"/>
      <c r="H904" s="19"/>
    </row>
    <row r="905" spans="1:8" ht="15.75" customHeight="1" x14ac:dyDescent="0.3">
      <c r="A905" s="19"/>
      <c r="B905" s="19"/>
      <c r="C905" s="19"/>
      <c r="D905" s="19"/>
      <c r="E905" s="19"/>
      <c r="F905" s="19"/>
      <c r="G905" s="19"/>
      <c r="H905" s="19"/>
    </row>
    <row r="906" spans="1:8" ht="15.75" customHeight="1" x14ac:dyDescent="0.3">
      <c r="A906" s="19"/>
      <c r="B906" s="19"/>
      <c r="C906" s="19"/>
      <c r="D906" s="19"/>
      <c r="E906" s="19"/>
      <c r="F906" s="19"/>
      <c r="G906" s="19"/>
      <c r="H906" s="19"/>
    </row>
    <row r="907" spans="1:8" ht="15.75" customHeight="1" x14ac:dyDescent="0.3">
      <c r="A907" s="19"/>
      <c r="B907" s="19"/>
      <c r="C907" s="19"/>
      <c r="D907" s="19"/>
      <c r="E907" s="19"/>
      <c r="F907" s="19"/>
      <c r="G907" s="19"/>
      <c r="H907" s="19"/>
    </row>
    <row r="908" spans="1:8" ht="15.75" customHeight="1" x14ac:dyDescent="0.3">
      <c r="A908" s="19"/>
      <c r="B908" s="19"/>
      <c r="C908" s="19"/>
      <c r="D908" s="19"/>
      <c r="E908" s="19"/>
      <c r="F908" s="19"/>
      <c r="G908" s="19"/>
      <c r="H908" s="19"/>
    </row>
    <row r="909" spans="1:8" ht="15.75" customHeight="1" x14ac:dyDescent="0.3">
      <c r="A909" s="19"/>
      <c r="B909" s="19"/>
      <c r="C909" s="19"/>
      <c r="D909" s="19"/>
      <c r="E909" s="19"/>
      <c r="F909" s="19"/>
      <c r="G909" s="19"/>
      <c r="H909" s="19"/>
    </row>
    <row r="910" spans="1:8" ht="15.75" customHeight="1" x14ac:dyDescent="0.3">
      <c r="A910" s="19"/>
      <c r="B910" s="19"/>
      <c r="C910" s="19"/>
      <c r="D910" s="19"/>
      <c r="E910" s="19"/>
      <c r="F910" s="19"/>
      <c r="G910" s="19"/>
      <c r="H910" s="19"/>
    </row>
    <row r="911" spans="1:8" ht="15.75" customHeight="1" x14ac:dyDescent="0.3">
      <c r="A911" s="19"/>
      <c r="B911" s="19"/>
      <c r="C911" s="19"/>
      <c r="D911" s="19"/>
      <c r="E911" s="19"/>
      <c r="F911" s="19"/>
      <c r="G911" s="19"/>
      <c r="H911" s="19"/>
    </row>
    <row r="912" spans="1:8" ht="15.75" customHeight="1" x14ac:dyDescent="0.3">
      <c r="A912" s="19"/>
      <c r="B912" s="19"/>
      <c r="C912" s="19"/>
      <c r="D912" s="19"/>
      <c r="E912" s="19"/>
      <c r="F912" s="19"/>
      <c r="G912" s="19"/>
      <c r="H912" s="19"/>
    </row>
    <row r="913" spans="1:8" ht="15.75" customHeight="1" x14ac:dyDescent="0.3">
      <c r="A913" s="19"/>
      <c r="B913" s="19"/>
      <c r="C913" s="19"/>
      <c r="D913" s="19"/>
      <c r="E913" s="19"/>
      <c r="F913" s="19"/>
      <c r="G913" s="19"/>
      <c r="H913" s="19"/>
    </row>
    <row r="914" spans="1:8" ht="15.75" customHeight="1" x14ac:dyDescent="0.3">
      <c r="A914" s="19"/>
      <c r="B914" s="19"/>
      <c r="C914" s="19"/>
      <c r="D914" s="19"/>
      <c r="E914" s="19"/>
      <c r="F914" s="19"/>
      <c r="G914" s="19"/>
      <c r="H914" s="19"/>
    </row>
    <row r="915" spans="1:8" ht="15.75" customHeight="1" x14ac:dyDescent="0.3">
      <c r="A915" s="19"/>
      <c r="B915" s="19"/>
      <c r="C915" s="19"/>
      <c r="D915" s="19"/>
      <c r="E915" s="19"/>
      <c r="F915" s="19"/>
      <c r="G915" s="19"/>
      <c r="H915" s="19"/>
    </row>
    <row r="916" spans="1:8" ht="15.75" customHeight="1" x14ac:dyDescent="0.3">
      <c r="A916" s="19"/>
      <c r="B916" s="19"/>
      <c r="C916" s="19"/>
      <c r="D916" s="19"/>
      <c r="E916" s="19"/>
      <c r="F916" s="19"/>
      <c r="G916" s="19"/>
      <c r="H916" s="19"/>
    </row>
    <row r="917" spans="1:8" ht="15.75" customHeight="1" x14ac:dyDescent="0.3">
      <c r="A917" s="19"/>
      <c r="B917" s="19"/>
      <c r="C917" s="19"/>
      <c r="D917" s="19"/>
      <c r="E917" s="19"/>
      <c r="F917" s="19"/>
      <c r="G917" s="19"/>
      <c r="H917" s="19"/>
    </row>
    <row r="918" spans="1:8" ht="15.75" customHeight="1" x14ac:dyDescent="0.3">
      <c r="A918" s="19"/>
      <c r="B918" s="19"/>
      <c r="C918" s="19"/>
      <c r="D918" s="19"/>
      <c r="E918" s="19"/>
      <c r="F918" s="19"/>
      <c r="G918" s="19"/>
      <c r="H918" s="19"/>
    </row>
    <row r="919" spans="1:8" ht="15.75" customHeight="1" x14ac:dyDescent="0.3">
      <c r="A919" s="19"/>
      <c r="B919" s="19"/>
      <c r="C919" s="19"/>
      <c r="D919" s="19"/>
      <c r="E919" s="19"/>
      <c r="F919" s="19"/>
      <c r="G919" s="19"/>
      <c r="H919" s="19"/>
    </row>
    <row r="920" spans="1:8" ht="15.75" customHeight="1" x14ac:dyDescent="0.3">
      <c r="A920" s="19"/>
      <c r="B920" s="19"/>
      <c r="C920" s="19"/>
      <c r="D920" s="19"/>
      <c r="E920" s="19"/>
      <c r="F920" s="19"/>
      <c r="G920" s="19"/>
      <c r="H920" s="19"/>
    </row>
    <row r="921" spans="1:8" ht="15.75" customHeight="1" x14ac:dyDescent="0.3">
      <c r="A921" s="19"/>
      <c r="B921" s="19"/>
      <c r="C921" s="19"/>
      <c r="D921" s="19"/>
      <c r="E921" s="19"/>
      <c r="F921" s="19"/>
      <c r="G921" s="19"/>
      <c r="H921" s="19"/>
    </row>
    <row r="922" spans="1:8" ht="15.75" customHeight="1" x14ac:dyDescent="0.3">
      <c r="A922" s="19"/>
      <c r="B922" s="19"/>
      <c r="C922" s="19"/>
      <c r="D922" s="19"/>
      <c r="E922" s="19"/>
      <c r="F922" s="19"/>
      <c r="G922" s="19"/>
      <c r="H922" s="19"/>
    </row>
    <row r="923" spans="1:8" ht="15.75" customHeight="1" x14ac:dyDescent="0.3">
      <c r="A923" s="19"/>
      <c r="B923" s="19"/>
      <c r="C923" s="19"/>
      <c r="D923" s="19"/>
      <c r="E923" s="19"/>
      <c r="F923" s="19"/>
      <c r="G923" s="19"/>
      <c r="H923" s="19"/>
    </row>
    <row r="924" spans="1:8" ht="15.75" customHeight="1" x14ac:dyDescent="0.3">
      <c r="A924" s="19"/>
      <c r="B924" s="19"/>
      <c r="C924" s="19"/>
      <c r="D924" s="19"/>
      <c r="E924" s="19"/>
      <c r="F924" s="19"/>
      <c r="G924" s="19"/>
      <c r="H924" s="19"/>
    </row>
    <row r="925" spans="1:8" ht="15.75" customHeight="1" x14ac:dyDescent="0.3">
      <c r="A925" s="19"/>
      <c r="B925" s="19"/>
      <c r="C925" s="19"/>
      <c r="D925" s="19"/>
      <c r="E925" s="19"/>
      <c r="F925" s="19"/>
      <c r="G925" s="19"/>
      <c r="H925" s="19"/>
    </row>
    <row r="926" spans="1:8" ht="15.75" customHeight="1" x14ac:dyDescent="0.3">
      <c r="A926" s="19"/>
      <c r="B926" s="19"/>
      <c r="C926" s="19"/>
      <c r="D926" s="19"/>
      <c r="E926" s="19"/>
      <c r="F926" s="19"/>
      <c r="G926" s="19"/>
      <c r="H926" s="19"/>
    </row>
    <row r="927" spans="1:8" ht="15.75" customHeight="1" x14ac:dyDescent="0.3">
      <c r="A927" s="19"/>
      <c r="B927" s="19"/>
      <c r="C927" s="19"/>
      <c r="D927" s="19"/>
      <c r="E927" s="19"/>
      <c r="F927" s="19"/>
      <c r="G927" s="19"/>
      <c r="H927" s="19"/>
    </row>
    <row r="928" spans="1:8" ht="15.75" customHeight="1" x14ac:dyDescent="0.3">
      <c r="A928" s="19"/>
      <c r="B928" s="19"/>
      <c r="C928" s="19"/>
      <c r="D928" s="19"/>
      <c r="E928" s="19"/>
      <c r="F928" s="19"/>
      <c r="G928" s="19"/>
      <c r="H928" s="19"/>
    </row>
    <row r="929" spans="1:8" ht="15.75" customHeight="1" x14ac:dyDescent="0.3">
      <c r="A929" s="19"/>
      <c r="B929" s="19"/>
      <c r="C929" s="19"/>
      <c r="D929" s="19"/>
      <c r="E929" s="19"/>
      <c r="F929" s="19"/>
      <c r="G929" s="19"/>
      <c r="H929" s="19"/>
    </row>
    <row r="930" spans="1:8" ht="15.75" customHeight="1" x14ac:dyDescent="0.3">
      <c r="A930" s="19"/>
      <c r="B930" s="19"/>
      <c r="C930" s="19"/>
      <c r="D930" s="19"/>
      <c r="E930" s="19"/>
      <c r="F930" s="19"/>
      <c r="G930" s="19"/>
      <c r="H930" s="19"/>
    </row>
    <row r="931" spans="1:8" ht="15.75" customHeight="1" x14ac:dyDescent="0.3">
      <c r="A931" s="19"/>
      <c r="B931" s="19"/>
      <c r="C931" s="19"/>
      <c r="D931" s="19"/>
      <c r="E931" s="19"/>
      <c r="F931" s="19"/>
      <c r="G931" s="19"/>
      <c r="H931" s="19"/>
    </row>
    <row r="932" spans="1:8" ht="15.75" customHeight="1" x14ac:dyDescent="0.3">
      <c r="A932" s="19"/>
      <c r="B932" s="19"/>
      <c r="C932" s="19"/>
      <c r="D932" s="19"/>
      <c r="E932" s="19"/>
      <c r="F932" s="19"/>
      <c r="G932" s="19"/>
      <c r="H932" s="19"/>
    </row>
    <row r="933" spans="1:8" ht="15.75" customHeight="1" x14ac:dyDescent="0.3">
      <c r="A933" s="19"/>
      <c r="B933" s="19"/>
      <c r="C933" s="19"/>
      <c r="D933" s="19"/>
      <c r="E933" s="19"/>
      <c r="F933" s="19"/>
      <c r="G933" s="19"/>
      <c r="H933" s="19"/>
    </row>
    <row r="934" spans="1:8" ht="15.75" customHeight="1" x14ac:dyDescent="0.3">
      <c r="A934" s="19"/>
      <c r="B934" s="19"/>
      <c r="C934" s="19"/>
      <c r="D934" s="19"/>
      <c r="E934" s="19"/>
      <c r="F934" s="19"/>
      <c r="G934" s="19"/>
      <c r="H934" s="19"/>
    </row>
    <row r="935" spans="1:8" ht="15.75" customHeight="1" x14ac:dyDescent="0.3">
      <c r="A935" s="19"/>
      <c r="B935" s="19"/>
      <c r="C935" s="19"/>
      <c r="D935" s="19"/>
      <c r="E935" s="19"/>
      <c r="F935" s="19"/>
      <c r="G935" s="19"/>
      <c r="H935" s="19"/>
    </row>
    <row r="936" spans="1:8" ht="15.75" customHeight="1" x14ac:dyDescent="0.3">
      <c r="A936" s="19"/>
      <c r="B936" s="19"/>
      <c r="C936" s="19"/>
      <c r="D936" s="19"/>
      <c r="E936" s="19"/>
      <c r="F936" s="19"/>
      <c r="G936" s="19"/>
      <c r="H936" s="19"/>
    </row>
    <row r="937" spans="1:8" ht="15.75" customHeight="1" x14ac:dyDescent="0.3">
      <c r="A937" s="19"/>
      <c r="B937" s="19"/>
      <c r="C937" s="19"/>
      <c r="D937" s="19"/>
      <c r="E937" s="19"/>
      <c r="F937" s="19"/>
      <c r="G937" s="19"/>
      <c r="H937" s="19"/>
    </row>
    <row r="938" spans="1:8" ht="15.75" customHeight="1" x14ac:dyDescent="0.3">
      <c r="A938" s="19"/>
      <c r="B938" s="19"/>
      <c r="C938" s="19"/>
      <c r="D938" s="19"/>
      <c r="E938" s="19"/>
      <c r="F938" s="19"/>
      <c r="G938" s="19"/>
      <c r="H938" s="19"/>
    </row>
    <row r="939" spans="1:8" ht="15.75" customHeight="1" x14ac:dyDescent="0.3">
      <c r="A939" s="19"/>
      <c r="B939" s="19"/>
      <c r="C939" s="19"/>
      <c r="D939" s="19"/>
      <c r="E939" s="19"/>
      <c r="F939" s="19"/>
      <c r="G939" s="19"/>
      <c r="H939" s="19"/>
    </row>
    <row r="940" spans="1:8" ht="15.75" customHeight="1" x14ac:dyDescent="0.3">
      <c r="A940" s="19"/>
      <c r="B940" s="19"/>
      <c r="C940" s="19"/>
      <c r="D940" s="19"/>
      <c r="E940" s="19"/>
      <c r="F940" s="19"/>
      <c r="G940" s="19"/>
      <c r="H940" s="19"/>
    </row>
    <row r="941" spans="1:8" ht="15.75" customHeight="1" x14ac:dyDescent="0.3">
      <c r="A941" s="19"/>
      <c r="B941" s="19"/>
      <c r="C941" s="19"/>
      <c r="D941" s="19"/>
      <c r="E941" s="19"/>
      <c r="F941" s="19"/>
      <c r="G941" s="19"/>
      <c r="H941" s="19"/>
    </row>
    <row r="942" spans="1:8" ht="15.75" customHeight="1" x14ac:dyDescent="0.3">
      <c r="A942" s="19"/>
      <c r="B942" s="19"/>
      <c r="C942" s="19"/>
      <c r="D942" s="19"/>
      <c r="E942" s="19"/>
      <c r="F942" s="19"/>
      <c r="G942" s="19"/>
      <c r="H942" s="19"/>
    </row>
    <row r="943" spans="1:8" ht="15.75" customHeight="1" x14ac:dyDescent="0.3">
      <c r="A943" s="19"/>
      <c r="B943" s="19"/>
      <c r="C943" s="19"/>
      <c r="D943" s="19"/>
      <c r="E943" s="19"/>
      <c r="F943" s="19"/>
      <c r="G943" s="19"/>
      <c r="H943" s="19"/>
    </row>
    <row r="944" spans="1:8" ht="15.75" customHeight="1" x14ac:dyDescent="0.3">
      <c r="A944" s="19"/>
      <c r="B944" s="19"/>
      <c r="C944" s="19"/>
      <c r="D944" s="19"/>
      <c r="E944" s="19"/>
      <c r="F944" s="19"/>
      <c r="G944" s="19"/>
      <c r="H944" s="19"/>
    </row>
    <row r="945" spans="1:8" ht="15.75" customHeight="1" x14ac:dyDescent="0.3">
      <c r="A945" s="19"/>
      <c r="B945" s="19"/>
      <c r="C945" s="19"/>
      <c r="D945" s="19"/>
      <c r="E945" s="19"/>
      <c r="F945" s="19"/>
      <c r="G945" s="19"/>
      <c r="H945" s="19"/>
    </row>
    <row r="946" spans="1:8" ht="15.75" customHeight="1" x14ac:dyDescent="0.3">
      <c r="A946" s="19"/>
      <c r="B946" s="19"/>
      <c r="C946" s="19"/>
      <c r="D946" s="19"/>
      <c r="E946" s="19"/>
      <c r="F946" s="19"/>
      <c r="G946" s="19"/>
      <c r="H946" s="19"/>
    </row>
    <row r="947" spans="1:8" ht="15.75" customHeight="1" x14ac:dyDescent="0.3">
      <c r="A947" s="19"/>
      <c r="B947" s="19"/>
      <c r="C947" s="19"/>
      <c r="D947" s="19"/>
      <c r="E947" s="19"/>
      <c r="F947" s="19"/>
      <c r="G947" s="19"/>
      <c r="H947" s="19"/>
    </row>
    <row r="948" spans="1:8" ht="15.75" customHeight="1" x14ac:dyDescent="0.3">
      <c r="A948" s="19"/>
      <c r="B948" s="19"/>
      <c r="C948" s="19"/>
      <c r="D948" s="19"/>
      <c r="E948" s="19"/>
      <c r="F948" s="19"/>
      <c r="G948" s="19"/>
      <c r="H948" s="19"/>
    </row>
    <row r="949" spans="1:8" ht="15.75" customHeight="1" x14ac:dyDescent="0.3">
      <c r="A949" s="19"/>
      <c r="B949" s="19"/>
      <c r="C949" s="19"/>
      <c r="D949" s="19"/>
      <c r="E949" s="19"/>
      <c r="F949" s="19"/>
      <c r="G949" s="19"/>
      <c r="H949" s="19"/>
    </row>
    <row r="950" spans="1:8" ht="15.75" customHeight="1" x14ac:dyDescent="0.3">
      <c r="A950" s="19"/>
      <c r="B950" s="19"/>
      <c r="C950" s="19"/>
      <c r="D950" s="19"/>
      <c r="E950" s="19"/>
      <c r="F950" s="19"/>
      <c r="G950" s="19"/>
      <c r="H950" s="19"/>
    </row>
    <row r="951" spans="1:8" ht="15.75" customHeight="1" x14ac:dyDescent="0.3">
      <c r="A951" s="19"/>
      <c r="B951" s="19"/>
      <c r="C951" s="19"/>
      <c r="D951" s="19"/>
      <c r="E951" s="19"/>
      <c r="F951" s="19"/>
      <c r="G951" s="19"/>
      <c r="H951" s="19"/>
    </row>
    <row r="952" spans="1:8" ht="15.75" customHeight="1" x14ac:dyDescent="0.3">
      <c r="A952" s="19"/>
      <c r="B952" s="19"/>
      <c r="C952" s="19"/>
      <c r="D952" s="19"/>
      <c r="E952" s="19"/>
      <c r="F952" s="19"/>
      <c r="G952" s="19"/>
      <c r="H952" s="19"/>
    </row>
    <row r="953" spans="1:8" ht="15.75" customHeight="1" x14ac:dyDescent="0.3">
      <c r="A953" s="19"/>
      <c r="B953" s="19"/>
      <c r="C953" s="19"/>
      <c r="D953" s="19"/>
      <c r="E953" s="19"/>
      <c r="F953" s="19"/>
      <c r="G953" s="19"/>
      <c r="H953" s="19"/>
    </row>
    <row r="954" spans="1:8" ht="15.75" customHeight="1" x14ac:dyDescent="0.3">
      <c r="A954" s="19"/>
      <c r="B954" s="19"/>
      <c r="C954" s="19"/>
      <c r="D954" s="19"/>
      <c r="E954" s="19"/>
      <c r="F954" s="19"/>
      <c r="G954" s="19"/>
      <c r="H954" s="19"/>
    </row>
    <row r="955" spans="1:8" ht="15.75" customHeight="1" x14ac:dyDescent="0.3">
      <c r="A955" s="19"/>
      <c r="B955" s="19"/>
      <c r="C955" s="19"/>
      <c r="D955" s="19"/>
      <c r="E955" s="19"/>
      <c r="F955" s="19"/>
      <c r="G955" s="19"/>
      <c r="H955" s="19"/>
    </row>
    <row r="956" spans="1:8" ht="15.75" customHeight="1" x14ac:dyDescent="0.3">
      <c r="A956" s="19"/>
      <c r="B956" s="19"/>
      <c r="C956" s="19"/>
      <c r="D956" s="19"/>
      <c r="E956" s="19"/>
      <c r="F956" s="19"/>
      <c r="G956" s="19"/>
      <c r="H956" s="19"/>
    </row>
    <row r="957" spans="1:8" ht="15.75" customHeight="1" x14ac:dyDescent="0.3">
      <c r="A957" s="19"/>
      <c r="B957" s="19"/>
      <c r="C957" s="19"/>
      <c r="D957" s="19"/>
      <c r="E957" s="19"/>
      <c r="F957" s="19"/>
      <c r="G957" s="19"/>
      <c r="H957" s="19"/>
    </row>
    <row r="958" spans="1:8" ht="15.75" customHeight="1" x14ac:dyDescent="0.3">
      <c r="A958" s="19"/>
      <c r="B958" s="19"/>
      <c r="C958" s="19"/>
      <c r="D958" s="19"/>
      <c r="E958" s="19"/>
      <c r="F958" s="19"/>
      <c r="G958" s="19"/>
      <c r="H958" s="19"/>
    </row>
    <row r="959" spans="1:8" ht="15.75" customHeight="1" x14ac:dyDescent="0.3">
      <c r="A959" s="19"/>
      <c r="B959" s="19"/>
      <c r="C959" s="19"/>
      <c r="D959" s="19"/>
      <c r="E959" s="19"/>
      <c r="F959" s="19"/>
      <c r="G959" s="19"/>
      <c r="H959" s="19"/>
    </row>
    <row r="960" spans="1:8" ht="15.75" customHeight="1" x14ac:dyDescent="0.3">
      <c r="A960" s="19"/>
      <c r="B960" s="19"/>
      <c r="C960" s="19"/>
      <c r="D960" s="19"/>
      <c r="E960" s="19"/>
      <c r="F960" s="19"/>
      <c r="G960" s="19"/>
      <c r="H960" s="19"/>
    </row>
    <row r="961" spans="1:8" ht="15.75" customHeight="1" x14ac:dyDescent="0.3">
      <c r="A961" s="19"/>
      <c r="B961" s="19"/>
      <c r="C961" s="19"/>
      <c r="D961" s="19"/>
      <c r="E961" s="19"/>
      <c r="F961" s="19"/>
      <c r="G961" s="19"/>
      <c r="H961" s="19"/>
    </row>
    <row r="962" spans="1:8" ht="15.75" customHeight="1" x14ac:dyDescent="0.3">
      <c r="A962" s="19"/>
      <c r="B962" s="19"/>
      <c r="C962" s="19"/>
      <c r="D962" s="19"/>
      <c r="E962" s="19"/>
      <c r="F962" s="19"/>
      <c r="G962" s="19"/>
      <c r="H962" s="19"/>
    </row>
    <row r="963" spans="1:8" ht="15.75" customHeight="1" x14ac:dyDescent="0.3">
      <c r="A963" s="19"/>
      <c r="B963" s="19"/>
      <c r="C963" s="19"/>
      <c r="D963" s="19"/>
      <c r="E963" s="19"/>
      <c r="F963" s="19"/>
      <c r="G963" s="19"/>
      <c r="H963" s="19"/>
    </row>
    <row r="964" spans="1:8" ht="15.75" customHeight="1" x14ac:dyDescent="0.3">
      <c r="A964" s="19"/>
      <c r="B964" s="19"/>
      <c r="C964" s="19"/>
      <c r="D964" s="19"/>
      <c r="E964" s="19"/>
      <c r="F964" s="19"/>
      <c r="G964" s="19"/>
      <c r="H964" s="19"/>
    </row>
    <row r="965" spans="1:8" ht="15.75" customHeight="1" x14ac:dyDescent="0.3">
      <c r="A965" s="19"/>
      <c r="B965" s="19"/>
      <c r="C965" s="19"/>
      <c r="D965" s="19"/>
      <c r="E965" s="19"/>
      <c r="F965" s="19"/>
      <c r="G965" s="19"/>
      <c r="H965" s="19"/>
    </row>
    <row r="966" spans="1:8" ht="15.75" customHeight="1" x14ac:dyDescent="0.3">
      <c r="A966" s="19"/>
      <c r="B966" s="19"/>
      <c r="C966" s="19"/>
      <c r="D966" s="19"/>
      <c r="E966" s="19"/>
      <c r="F966" s="19"/>
      <c r="G966" s="19"/>
      <c r="H966" s="19"/>
    </row>
    <row r="967" spans="1:8" ht="15.75" customHeight="1" x14ac:dyDescent="0.3">
      <c r="A967" s="19"/>
      <c r="B967" s="19"/>
      <c r="C967" s="19"/>
      <c r="D967" s="19"/>
      <c r="E967" s="19"/>
      <c r="F967" s="19"/>
      <c r="G967" s="19"/>
      <c r="H967" s="19"/>
    </row>
    <row r="968" spans="1:8" ht="15.75" customHeight="1" x14ac:dyDescent="0.3">
      <c r="A968" s="19"/>
      <c r="B968" s="19"/>
      <c r="C968" s="19"/>
      <c r="D968" s="19"/>
      <c r="E968" s="19"/>
      <c r="F968" s="19"/>
      <c r="G968" s="19"/>
      <c r="H968" s="19"/>
    </row>
    <row r="969" spans="1:8" ht="15.75" customHeight="1" x14ac:dyDescent="0.3">
      <c r="A969" s="19"/>
      <c r="B969" s="19"/>
      <c r="C969" s="19"/>
      <c r="D969" s="19"/>
      <c r="E969" s="19"/>
      <c r="F969" s="19"/>
      <c r="G969" s="19"/>
      <c r="H969" s="19"/>
    </row>
    <row r="970" spans="1:8" ht="15.75" customHeight="1" x14ac:dyDescent="0.3">
      <c r="A970" s="19"/>
      <c r="B970" s="19"/>
      <c r="C970" s="19"/>
      <c r="D970" s="19"/>
      <c r="E970" s="19"/>
      <c r="F970" s="19"/>
      <c r="G970" s="19"/>
      <c r="H970" s="19"/>
    </row>
    <row r="971" spans="1:8" ht="15.75" customHeight="1" x14ac:dyDescent="0.3">
      <c r="A971" s="19"/>
      <c r="B971" s="19"/>
      <c r="C971" s="19"/>
      <c r="D971" s="19"/>
      <c r="E971" s="19"/>
      <c r="F971" s="19"/>
      <c r="G971" s="19"/>
      <c r="H971" s="19"/>
    </row>
    <row r="972" spans="1:8" ht="15.75" customHeight="1" x14ac:dyDescent="0.3">
      <c r="A972" s="19"/>
      <c r="B972" s="19"/>
      <c r="C972" s="19"/>
      <c r="D972" s="19"/>
      <c r="E972" s="19"/>
      <c r="F972" s="19"/>
      <c r="G972" s="19"/>
      <c r="H972" s="19"/>
    </row>
    <row r="973" spans="1:8" ht="15.75" customHeight="1" x14ac:dyDescent="0.3">
      <c r="A973" s="19"/>
      <c r="B973" s="19"/>
      <c r="C973" s="19"/>
      <c r="D973" s="19"/>
      <c r="E973" s="19"/>
      <c r="F973" s="19"/>
      <c r="G973" s="19"/>
      <c r="H973" s="19"/>
    </row>
    <row r="974" spans="1:8" ht="15.75" customHeight="1" x14ac:dyDescent="0.3">
      <c r="A974" s="19"/>
      <c r="B974" s="19"/>
      <c r="C974" s="19"/>
      <c r="D974" s="19"/>
      <c r="E974" s="19"/>
      <c r="F974" s="19"/>
      <c r="G974" s="19"/>
      <c r="H974" s="19"/>
    </row>
    <row r="975" spans="1:8" ht="15.75" customHeight="1" x14ac:dyDescent="0.3">
      <c r="A975" s="19"/>
      <c r="B975" s="19"/>
      <c r="C975" s="19"/>
      <c r="D975" s="19"/>
      <c r="E975" s="19"/>
      <c r="F975" s="19"/>
      <c r="G975" s="19"/>
      <c r="H975" s="19"/>
    </row>
    <row r="976" spans="1:8" ht="15.75" customHeight="1" x14ac:dyDescent="0.3">
      <c r="A976" s="19"/>
      <c r="B976" s="19"/>
      <c r="C976" s="19"/>
      <c r="D976" s="19"/>
      <c r="E976" s="19"/>
      <c r="F976" s="19"/>
      <c r="G976" s="19"/>
      <c r="H976" s="19"/>
    </row>
    <row r="977" spans="1:8" ht="15.75" customHeight="1" x14ac:dyDescent="0.3">
      <c r="A977" s="19"/>
      <c r="B977" s="19"/>
      <c r="C977" s="19"/>
      <c r="D977" s="19"/>
      <c r="E977" s="19"/>
      <c r="F977" s="19"/>
      <c r="G977" s="19"/>
      <c r="H977" s="19"/>
    </row>
    <row r="978" spans="1:8" ht="15.75" customHeight="1" x14ac:dyDescent="0.3">
      <c r="A978" s="19"/>
      <c r="B978" s="19"/>
      <c r="C978" s="19"/>
      <c r="D978" s="19"/>
      <c r="E978" s="19"/>
      <c r="F978" s="19"/>
      <c r="G978" s="19"/>
      <c r="H978" s="19"/>
    </row>
    <row r="979" spans="1:8" ht="15.75" customHeight="1" x14ac:dyDescent="0.3">
      <c r="A979" s="19"/>
      <c r="B979" s="19"/>
      <c r="C979" s="19"/>
      <c r="D979" s="19"/>
      <c r="E979" s="19"/>
      <c r="F979" s="19"/>
      <c r="G979" s="19"/>
      <c r="H979" s="19"/>
    </row>
    <row r="980" spans="1:8" ht="15.75" customHeight="1" x14ac:dyDescent="0.3">
      <c r="A980" s="19"/>
      <c r="B980" s="19"/>
      <c r="C980" s="19"/>
      <c r="D980" s="19"/>
      <c r="E980" s="19"/>
      <c r="F980" s="19"/>
      <c r="G980" s="19"/>
      <c r="H980" s="19"/>
    </row>
    <row r="981" spans="1:8" ht="15.75" customHeight="1" x14ac:dyDescent="0.3">
      <c r="A981" s="19"/>
      <c r="B981" s="19"/>
      <c r="C981" s="19"/>
      <c r="D981" s="19"/>
      <c r="E981" s="19"/>
      <c r="F981" s="19"/>
      <c r="G981" s="19"/>
      <c r="H981" s="19"/>
    </row>
    <row r="982" spans="1:8" ht="15.75" customHeight="1" x14ac:dyDescent="0.3">
      <c r="A982" s="19"/>
      <c r="B982" s="19"/>
      <c r="C982" s="19"/>
      <c r="D982" s="19"/>
      <c r="E982" s="19"/>
      <c r="F982" s="19"/>
      <c r="G982" s="19"/>
      <c r="H982" s="19"/>
    </row>
    <row r="983" spans="1:8" ht="15.75" customHeight="1" x14ac:dyDescent="0.3">
      <c r="A983" s="19"/>
      <c r="B983" s="19"/>
      <c r="C983" s="19"/>
      <c r="D983" s="19"/>
      <c r="E983" s="19"/>
      <c r="F983" s="19"/>
      <c r="G983" s="19"/>
      <c r="H983" s="19"/>
    </row>
    <row r="984" spans="1:8" ht="15.75" customHeight="1" x14ac:dyDescent="0.3">
      <c r="A984" s="19"/>
      <c r="B984" s="19"/>
      <c r="C984" s="19"/>
      <c r="D984" s="19"/>
      <c r="E984" s="19"/>
      <c r="F984" s="19"/>
      <c r="G984" s="19"/>
      <c r="H984" s="19"/>
    </row>
    <row r="985" spans="1:8" ht="15.75" customHeight="1" x14ac:dyDescent="0.3">
      <c r="A985" s="19"/>
      <c r="B985" s="19"/>
      <c r="C985" s="19"/>
      <c r="D985" s="19"/>
      <c r="E985" s="19"/>
      <c r="F985" s="19"/>
      <c r="G985" s="19"/>
      <c r="H985" s="19"/>
    </row>
    <row r="986" spans="1:8" ht="15.75" customHeight="1" x14ac:dyDescent="0.3">
      <c r="A986" s="19"/>
      <c r="B986" s="19"/>
      <c r="C986" s="19"/>
      <c r="D986" s="19"/>
      <c r="E986" s="19"/>
      <c r="F986" s="19"/>
      <c r="G986" s="19"/>
      <c r="H986" s="19"/>
    </row>
    <row r="987" spans="1:8" ht="15.75" customHeight="1" x14ac:dyDescent="0.3">
      <c r="A987" s="19"/>
      <c r="B987" s="19"/>
      <c r="C987" s="19"/>
      <c r="D987" s="19"/>
      <c r="E987" s="19"/>
      <c r="F987" s="19"/>
      <c r="G987" s="19"/>
      <c r="H987" s="19"/>
    </row>
    <row r="988" spans="1:8" ht="15.75" customHeight="1" x14ac:dyDescent="0.3">
      <c r="A988" s="19"/>
      <c r="B988" s="19"/>
      <c r="C988" s="19"/>
      <c r="D988" s="19"/>
      <c r="E988" s="19"/>
      <c r="F988" s="19"/>
      <c r="G988" s="19"/>
      <c r="H988" s="19"/>
    </row>
    <row r="989" spans="1:8" ht="15.75" customHeight="1" x14ac:dyDescent="0.3">
      <c r="A989" s="19"/>
      <c r="B989" s="19"/>
      <c r="C989" s="19"/>
      <c r="D989" s="19"/>
      <c r="E989" s="19"/>
      <c r="F989" s="19"/>
      <c r="G989" s="19"/>
      <c r="H989" s="19"/>
    </row>
    <row r="990" spans="1:8" ht="15.75" customHeight="1" x14ac:dyDescent="0.3">
      <c r="A990" s="19"/>
      <c r="B990" s="19"/>
      <c r="C990" s="19"/>
      <c r="D990" s="19"/>
      <c r="E990" s="19"/>
      <c r="F990" s="19"/>
      <c r="G990" s="19"/>
      <c r="H990" s="19"/>
    </row>
    <row r="991" spans="1:8" ht="15.75" customHeight="1" x14ac:dyDescent="0.3">
      <c r="A991" s="19"/>
      <c r="B991" s="19"/>
      <c r="C991" s="19"/>
      <c r="D991" s="19"/>
      <c r="E991" s="19"/>
      <c r="F991" s="19"/>
      <c r="G991" s="19"/>
      <c r="H991" s="19"/>
    </row>
    <row r="992" spans="1:8" ht="15.75" customHeight="1" x14ac:dyDescent="0.3">
      <c r="A992" s="19"/>
      <c r="B992" s="19"/>
      <c r="C992" s="19"/>
      <c r="D992" s="19"/>
      <c r="E992" s="19"/>
      <c r="F992" s="19"/>
      <c r="G992" s="19"/>
      <c r="H992" s="19"/>
    </row>
    <row r="993" spans="1:8" ht="15.75" customHeight="1" x14ac:dyDescent="0.3">
      <c r="A993" s="19"/>
      <c r="B993" s="19"/>
      <c r="C993" s="19"/>
      <c r="D993" s="19"/>
      <c r="E993" s="19"/>
      <c r="F993" s="19"/>
      <c r="G993" s="19"/>
      <c r="H993" s="19"/>
    </row>
    <row r="994" spans="1:8" ht="15.75" customHeight="1" x14ac:dyDescent="0.3">
      <c r="A994" s="19"/>
      <c r="B994" s="19"/>
      <c r="C994" s="19"/>
      <c r="D994" s="19"/>
      <c r="E994" s="19"/>
      <c r="F994" s="19"/>
      <c r="G994" s="19"/>
      <c r="H994" s="19"/>
    </row>
    <row r="995" spans="1:8" ht="15.75" customHeight="1" x14ac:dyDescent="0.3">
      <c r="A995" s="19"/>
      <c r="B995" s="19"/>
      <c r="C995" s="19"/>
      <c r="D995" s="19"/>
      <c r="E995" s="19"/>
      <c r="F995" s="19"/>
      <c r="G995" s="19"/>
      <c r="H995" s="19"/>
    </row>
    <row r="996" spans="1:8" ht="15.75" customHeight="1" x14ac:dyDescent="0.3">
      <c r="A996" s="19"/>
      <c r="B996" s="19"/>
      <c r="C996" s="19"/>
      <c r="D996" s="19"/>
      <c r="E996" s="19"/>
      <c r="F996" s="19"/>
      <c r="G996" s="19"/>
      <c r="H996" s="19"/>
    </row>
    <row r="997" spans="1:8" ht="15.75" customHeight="1" x14ac:dyDescent="0.3">
      <c r="A997" s="19"/>
      <c r="B997" s="19"/>
      <c r="C997" s="19"/>
      <c r="D997" s="19"/>
      <c r="E997" s="19"/>
      <c r="F997" s="19"/>
      <c r="G997" s="19"/>
      <c r="H997" s="19"/>
    </row>
    <row r="998" spans="1:8" ht="15.75" customHeight="1" x14ac:dyDescent="0.3">
      <c r="A998" s="19"/>
      <c r="B998" s="19"/>
      <c r="C998" s="19"/>
      <c r="D998" s="19"/>
      <c r="E998" s="19"/>
      <c r="F998" s="19"/>
      <c r="G998" s="19"/>
      <c r="H998" s="19"/>
    </row>
    <row r="999" spans="1:8" ht="15.75" customHeight="1" x14ac:dyDescent="0.3">
      <c r="A999" s="19"/>
      <c r="B999" s="19"/>
      <c r="C999" s="19"/>
      <c r="D999" s="19"/>
      <c r="E999" s="19"/>
      <c r="F999" s="19"/>
      <c r="G999" s="19"/>
      <c r="H999" s="19"/>
    </row>
    <row r="1000" spans="1:8" ht="15.75" customHeight="1" x14ac:dyDescent="0.3">
      <c r="A1000" s="19"/>
      <c r="B1000" s="19"/>
      <c r="C1000" s="19"/>
      <c r="D1000" s="19"/>
      <c r="E1000" s="19"/>
      <c r="F1000" s="19"/>
      <c r="G1000" s="19"/>
      <c r="H1000" s="19"/>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pane ySplit="4" topLeftCell="A5" activePane="bottomLeft" state="frozen"/>
      <selection pane="bottomLeft" activeCell="B6" sqref="B6"/>
    </sheetView>
  </sheetViews>
  <sheetFormatPr defaultColWidth="14.44140625" defaultRowHeight="14.4" x14ac:dyDescent="0.3"/>
  <cols>
    <col min="1" max="1" width="11" customWidth="1"/>
    <col min="2" max="2" width="13" customWidth="1"/>
    <col min="3" max="3" width="50" customWidth="1"/>
    <col min="4" max="4" width="26" customWidth="1"/>
    <col min="5" max="6" width="12" customWidth="1"/>
  </cols>
  <sheetData>
    <row r="1" spans="1:26" ht="17.25" customHeight="1" x14ac:dyDescent="0.3">
      <c r="A1" s="14" t="s">
        <v>170</v>
      </c>
      <c r="B1" s="14"/>
      <c r="C1" s="14"/>
      <c r="D1" s="14"/>
      <c r="E1" s="14"/>
      <c r="F1" s="14"/>
      <c r="G1" s="15"/>
      <c r="H1" s="15"/>
      <c r="I1" s="15"/>
      <c r="J1" s="15"/>
      <c r="K1" s="15"/>
      <c r="L1" s="15"/>
      <c r="M1" s="15"/>
      <c r="N1" s="15"/>
      <c r="O1" s="15"/>
      <c r="P1" s="15"/>
      <c r="Q1" s="15"/>
      <c r="R1" s="15"/>
      <c r="S1" s="15"/>
      <c r="T1" s="15"/>
      <c r="U1" s="15"/>
      <c r="V1" s="15"/>
      <c r="W1" s="15"/>
      <c r="X1" s="15"/>
      <c r="Y1" s="15"/>
      <c r="Z1" s="15"/>
    </row>
    <row r="2" spans="1:26" ht="15" customHeight="1" x14ac:dyDescent="0.3">
      <c r="A2" s="12" t="s">
        <v>171</v>
      </c>
      <c r="B2" s="12"/>
      <c r="C2" s="12"/>
      <c r="D2" s="12"/>
      <c r="E2" s="12"/>
      <c r="F2" s="12"/>
      <c r="G2" s="15"/>
      <c r="H2" s="15"/>
      <c r="I2" s="15"/>
      <c r="J2" s="15"/>
      <c r="K2" s="15"/>
      <c r="L2" s="15"/>
      <c r="M2" s="15"/>
      <c r="N2" s="15"/>
      <c r="O2" s="15"/>
      <c r="P2" s="15"/>
      <c r="Q2" s="15"/>
      <c r="R2" s="15"/>
      <c r="S2" s="15"/>
      <c r="T2" s="15"/>
      <c r="U2" s="15"/>
      <c r="V2" s="15"/>
      <c r="W2" s="15"/>
      <c r="X2" s="15"/>
      <c r="Y2" s="15"/>
      <c r="Z2" s="15"/>
    </row>
    <row r="3" spans="1:26" ht="15" customHeight="1" x14ac:dyDescent="0.3">
      <c r="A3" s="11" t="s">
        <v>172</v>
      </c>
      <c r="B3" s="11"/>
      <c r="C3" s="11"/>
      <c r="D3" s="11"/>
      <c r="E3" s="11"/>
      <c r="F3" s="11"/>
      <c r="G3" s="15"/>
      <c r="H3" s="15"/>
      <c r="I3" s="15"/>
      <c r="J3" s="15"/>
      <c r="K3" s="15"/>
      <c r="L3" s="15"/>
      <c r="M3" s="15"/>
      <c r="N3" s="15"/>
      <c r="O3" s="15"/>
      <c r="P3" s="15"/>
      <c r="Q3" s="15"/>
      <c r="R3" s="15"/>
      <c r="S3" s="15"/>
      <c r="T3" s="15"/>
      <c r="U3" s="15"/>
      <c r="V3" s="15"/>
      <c r="W3" s="15"/>
      <c r="X3" s="15"/>
      <c r="Y3" s="15"/>
      <c r="Z3" s="15"/>
    </row>
    <row r="4" spans="1:26" x14ac:dyDescent="0.3">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ht="15" customHeight="1" x14ac:dyDescent="0.3">
      <c r="A5" s="27" t="s">
        <v>173</v>
      </c>
      <c r="B5" s="15"/>
      <c r="C5" s="15"/>
      <c r="D5" s="15"/>
      <c r="E5" s="15"/>
      <c r="F5" s="15"/>
      <c r="G5" s="15"/>
      <c r="H5" s="15"/>
      <c r="I5" s="15"/>
      <c r="J5" s="15"/>
      <c r="K5" s="15"/>
      <c r="L5" s="15"/>
      <c r="M5" s="15"/>
      <c r="N5" s="15"/>
      <c r="O5" s="15"/>
      <c r="P5" s="15"/>
      <c r="Q5" s="15"/>
      <c r="R5" s="15"/>
      <c r="S5" s="15"/>
      <c r="T5" s="15"/>
      <c r="U5" s="15"/>
      <c r="V5" s="15"/>
      <c r="W5" s="15"/>
      <c r="X5" s="15"/>
      <c r="Y5" s="15"/>
      <c r="Z5" s="15"/>
    </row>
    <row r="6" spans="1:26" ht="23.25" customHeight="1" x14ac:dyDescent="0.3">
      <c r="A6" s="16" t="s">
        <v>174</v>
      </c>
      <c r="B6" s="16" t="s">
        <v>24</v>
      </c>
      <c r="C6" s="16" t="s">
        <v>29</v>
      </c>
      <c r="D6" s="16" t="s">
        <v>26</v>
      </c>
      <c r="E6" s="16" t="s">
        <v>175</v>
      </c>
      <c r="F6" s="15"/>
      <c r="G6" s="15"/>
      <c r="H6" s="15"/>
      <c r="I6" s="15"/>
      <c r="J6" s="15"/>
      <c r="K6" s="15"/>
      <c r="L6" s="15"/>
      <c r="M6" s="15"/>
      <c r="N6" s="15"/>
      <c r="O6" s="15"/>
      <c r="P6" s="15"/>
      <c r="Q6" s="15"/>
      <c r="R6" s="15"/>
      <c r="S6" s="15"/>
      <c r="T6" s="15"/>
      <c r="U6" s="15"/>
      <c r="V6" s="15"/>
      <c r="W6" s="15"/>
      <c r="X6" s="15"/>
      <c r="Y6" s="15"/>
      <c r="Z6" s="15"/>
    </row>
    <row r="7" spans="1:26" ht="69.75" customHeight="1" x14ac:dyDescent="0.3">
      <c r="A7" s="17" t="s">
        <v>176</v>
      </c>
      <c r="B7" s="17" t="s">
        <v>32</v>
      </c>
      <c r="C7" s="17" t="s">
        <v>6</v>
      </c>
      <c r="D7" s="17">
        <v>5</v>
      </c>
      <c r="E7" s="17" t="s">
        <v>177</v>
      </c>
      <c r="F7" s="15"/>
      <c r="G7" s="15"/>
      <c r="H7" s="15"/>
      <c r="I7" s="15"/>
      <c r="J7" s="15"/>
      <c r="K7" s="15"/>
      <c r="L7" s="15"/>
      <c r="M7" s="15"/>
      <c r="N7" s="15"/>
      <c r="O7" s="15"/>
      <c r="P7" s="15"/>
      <c r="Q7" s="15"/>
      <c r="R7" s="15"/>
      <c r="S7" s="15"/>
      <c r="T7" s="15"/>
      <c r="U7" s="15"/>
      <c r="V7" s="15"/>
      <c r="W7" s="15"/>
      <c r="X7" s="15"/>
      <c r="Y7" s="15"/>
      <c r="Z7" s="15"/>
    </row>
    <row r="8" spans="1:26" ht="69.75" customHeight="1" x14ac:dyDescent="0.3">
      <c r="A8" s="18" t="s">
        <v>178</v>
      </c>
      <c r="B8" s="18" t="s">
        <v>37</v>
      </c>
      <c r="C8" s="18" t="s">
        <v>6</v>
      </c>
      <c r="D8" s="18">
        <v>3</v>
      </c>
      <c r="E8" s="18" t="s">
        <v>179</v>
      </c>
      <c r="F8" s="15"/>
      <c r="G8" s="15"/>
      <c r="H8" s="15"/>
      <c r="I8" s="15"/>
      <c r="J8" s="15"/>
      <c r="K8" s="15"/>
      <c r="L8" s="15"/>
      <c r="M8" s="15"/>
      <c r="N8" s="15"/>
      <c r="O8" s="15"/>
      <c r="P8" s="15"/>
      <c r="Q8" s="15"/>
      <c r="R8" s="15"/>
      <c r="S8" s="15"/>
      <c r="T8" s="15"/>
      <c r="U8" s="15"/>
      <c r="V8" s="15"/>
      <c r="W8" s="15"/>
      <c r="X8" s="15"/>
      <c r="Y8" s="15"/>
      <c r="Z8" s="15"/>
    </row>
    <row r="9" spans="1:26" ht="69.75" customHeight="1" x14ac:dyDescent="0.3">
      <c r="A9" s="17" t="s">
        <v>180</v>
      </c>
      <c r="B9" s="17" t="s">
        <v>39</v>
      </c>
      <c r="C9" s="17" t="s">
        <v>6</v>
      </c>
      <c r="D9" s="17">
        <v>2</v>
      </c>
      <c r="E9" s="17" t="s">
        <v>181</v>
      </c>
      <c r="F9" s="15"/>
      <c r="G9" s="15"/>
      <c r="H9" s="15"/>
      <c r="I9" s="15"/>
      <c r="J9" s="15"/>
      <c r="K9" s="15"/>
      <c r="L9" s="15"/>
      <c r="M9" s="15"/>
      <c r="N9" s="15"/>
      <c r="O9" s="15"/>
      <c r="P9" s="15"/>
      <c r="Q9" s="15"/>
      <c r="R9" s="15"/>
      <c r="S9" s="15"/>
      <c r="T9" s="15"/>
      <c r="U9" s="15"/>
      <c r="V9" s="15"/>
      <c r="W9" s="15"/>
      <c r="X9" s="15"/>
      <c r="Y9" s="15"/>
      <c r="Z9" s="15"/>
    </row>
    <row r="10" spans="1:26" ht="69.75" customHeight="1" x14ac:dyDescent="0.3">
      <c r="A10" s="18" t="s">
        <v>182</v>
      </c>
      <c r="B10" s="18" t="s">
        <v>43</v>
      </c>
      <c r="C10" s="18" t="s">
        <v>6</v>
      </c>
      <c r="D10" s="18">
        <v>3</v>
      </c>
      <c r="E10" s="18" t="s">
        <v>183</v>
      </c>
      <c r="F10" s="15"/>
      <c r="G10" s="15"/>
      <c r="H10" s="15"/>
      <c r="I10" s="15"/>
      <c r="J10" s="15"/>
      <c r="K10" s="15"/>
      <c r="L10" s="15"/>
      <c r="M10" s="15"/>
      <c r="N10" s="15"/>
      <c r="O10" s="15"/>
      <c r="P10" s="15"/>
      <c r="Q10" s="15"/>
      <c r="R10" s="15"/>
      <c r="S10" s="15"/>
      <c r="T10" s="15"/>
      <c r="U10" s="15"/>
      <c r="V10" s="15"/>
      <c r="W10" s="15"/>
      <c r="X10" s="15"/>
      <c r="Y10" s="15"/>
      <c r="Z10" s="15"/>
    </row>
    <row r="11" spans="1:26" ht="69.75" customHeight="1" x14ac:dyDescent="0.3">
      <c r="A11" s="17" t="s">
        <v>184</v>
      </c>
      <c r="B11" s="17" t="s">
        <v>45</v>
      </c>
      <c r="C11" s="17" t="s">
        <v>6</v>
      </c>
      <c r="D11" s="17">
        <v>3</v>
      </c>
      <c r="E11" s="17" t="s">
        <v>185</v>
      </c>
      <c r="F11" s="15"/>
      <c r="G11" s="15"/>
      <c r="H11" s="15"/>
      <c r="I11" s="15"/>
      <c r="J11" s="15"/>
      <c r="K11" s="15"/>
      <c r="L11" s="15"/>
      <c r="M11" s="15"/>
      <c r="N11" s="15"/>
      <c r="O11" s="15"/>
      <c r="P11" s="15"/>
      <c r="Q11" s="15"/>
      <c r="R11" s="15"/>
      <c r="S11" s="15"/>
      <c r="T11" s="15"/>
      <c r="U11" s="15"/>
      <c r="V11" s="15"/>
      <c r="W11" s="15"/>
      <c r="X11" s="15"/>
      <c r="Y11" s="15"/>
      <c r="Z11" s="15"/>
    </row>
    <row r="12" spans="1:26" ht="69.75" customHeight="1" x14ac:dyDescent="0.3">
      <c r="A12" s="18" t="s">
        <v>186</v>
      </c>
      <c r="B12" s="18" t="s">
        <v>47</v>
      </c>
      <c r="C12" s="18" t="s">
        <v>6</v>
      </c>
      <c r="D12" s="18">
        <v>5</v>
      </c>
      <c r="E12" s="18" t="s">
        <v>187</v>
      </c>
      <c r="F12" s="15"/>
      <c r="G12" s="15"/>
      <c r="H12" s="15"/>
      <c r="I12" s="15"/>
      <c r="J12" s="15"/>
      <c r="K12" s="15"/>
      <c r="L12" s="15"/>
      <c r="M12" s="15"/>
      <c r="N12" s="15"/>
      <c r="O12" s="15"/>
      <c r="P12" s="15"/>
      <c r="Q12" s="15"/>
      <c r="R12" s="15"/>
      <c r="S12" s="15"/>
      <c r="T12" s="15"/>
      <c r="U12" s="15"/>
      <c r="V12" s="15"/>
      <c r="W12" s="15"/>
      <c r="X12" s="15"/>
      <c r="Y12" s="15"/>
      <c r="Z12" s="15"/>
    </row>
    <row r="13" spans="1:2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 customHeight="1" x14ac:dyDescent="0.3">
      <c r="A14" s="27" t="s">
        <v>188</v>
      </c>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23.25" customHeight="1" x14ac:dyDescent="0.3">
      <c r="A15" s="16" t="s">
        <v>174</v>
      </c>
      <c r="B15" s="16" t="s">
        <v>189</v>
      </c>
      <c r="C15" s="16" t="s">
        <v>190</v>
      </c>
      <c r="D15" s="16" t="s">
        <v>29</v>
      </c>
      <c r="E15" s="16" t="s">
        <v>191</v>
      </c>
      <c r="F15" s="16" t="s">
        <v>27</v>
      </c>
      <c r="G15" s="15"/>
      <c r="H15" s="15"/>
      <c r="I15" s="15"/>
      <c r="J15" s="15"/>
      <c r="K15" s="15"/>
      <c r="L15" s="15"/>
      <c r="M15" s="15"/>
      <c r="N15" s="15"/>
      <c r="O15" s="15"/>
      <c r="P15" s="15"/>
      <c r="Q15" s="15"/>
      <c r="R15" s="15"/>
      <c r="S15" s="15"/>
      <c r="T15" s="15"/>
      <c r="U15" s="15"/>
      <c r="V15" s="15"/>
      <c r="W15" s="15"/>
      <c r="X15" s="15"/>
      <c r="Y15" s="15"/>
      <c r="Z15" s="15"/>
    </row>
    <row r="16" spans="1:26" ht="30" customHeight="1" x14ac:dyDescent="0.3">
      <c r="A16" s="17" t="s">
        <v>176</v>
      </c>
      <c r="B16" s="28" t="s">
        <v>192</v>
      </c>
      <c r="C16" s="17" t="s">
        <v>193</v>
      </c>
      <c r="D16" s="17" t="s">
        <v>6</v>
      </c>
      <c r="E16" s="17">
        <v>3</v>
      </c>
      <c r="F16" s="21" t="s">
        <v>34</v>
      </c>
      <c r="G16" s="15"/>
      <c r="H16" s="15"/>
      <c r="I16" s="15"/>
      <c r="J16" s="15"/>
      <c r="K16" s="15"/>
      <c r="L16" s="15"/>
      <c r="M16" s="15"/>
      <c r="N16" s="15"/>
      <c r="O16" s="15"/>
      <c r="P16" s="15"/>
      <c r="Q16" s="15"/>
      <c r="R16" s="15"/>
      <c r="S16" s="15"/>
      <c r="T16" s="15"/>
      <c r="U16" s="15"/>
      <c r="V16" s="15"/>
      <c r="W16" s="15"/>
      <c r="X16" s="15"/>
      <c r="Y16" s="15"/>
      <c r="Z16" s="15"/>
    </row>
    <row r="17" spans="1:26" ht="30" customHeight="1" x14ac:dyDescent="0.3">
      <c r="A17" s="17" t="s">
        <v>176</v>
      </c>
      <c r="B17" s="29" t="s">
        <v>194</v>
      </c>
      <c r="C17" s="17" t="s">
        <v>195</v>
      </c>
      <c r="D17" s="17" t="s">
        <v>6</v>
      </c>
      <c r="E17" s="17">
        <v>2</v>
      </c>
      <c r="F17" s="21" t="s">
        <v>34</v>
      </c>
      <c r="G17" s="15"/>
      <c r="H17" s="15"/>
      <c r="I17" s="15"/>
      <c r="J17" s="15"/>
      <c r="K17" s="15"/>
      <c r="L17" s="15"/>
      <c r="M17" s="15"/>
      <c r="N17" s="15"/>
      <c r="O17" s="15"/>
      <c r="P17" s="15"/>
      <c r="Q17" s="15"/>
      <c r="R17" s="15"/>
      <c r="S17" s="15"/>
      <c r="T17" s="15"/>
      <c r="U17" s="15"/>
      <c r="V17" s="15"/>
      <c r="W17" s="15"/>
      <c r="X17" s="15"/>
      <c r="Y17" s="15"/>
      <c r="Z17" s="15"/>
    </row>
    <row r="18" spans="1:26" ht="30" customHeight="1" x14ac:dyDescent="0.3">
      <c r="A18" s="17" t="s">
        <v>176</v>
      </c>
      <c r="B18" s="30" t="s">
        <v>196</v>
      </c>
      <c r="C18" s="17" t="s">
        <v>197</v>
      </c>
      <c r="D18" s="17" t="s">
        <v>6</v>
      </c>
      <c r="E18" s="17">
        <v>4</v>
      </c>
      <c r="F18" s="21" t="s">
        <v>34</v>
      </c>
      <c r="G18" s="15"/>
      <c r="H18" s="15"/>
      <c r="I18" s="15"/>
      <c r="J18" s="15"/>
      <c r="K18" s="15"/>
      <c r="L18" s="15"/>
      <c r="M18" s="15"/>
      <c r="N18" s="15"/>
      <c r="O18" s="15"/>
      <c r="P18" s="15"/>
      <c r="Q18" s="15"/>
      <c r="R18" s="15"/>
      <c r="S18" s="15"/>
      <c r="T18" s="15"/>
      <c r="U18" s="15"/>
      <c r="V18" s="15"/>
      <c r="W18" s="15"/>
      <c r="X18" s="15"/>
      <c r="Y18" s="15"/>
      <c r="Z18" s="15"/>
    </row>
    <row r="19" spans="1:26" ht="30" customHeight="1" x14ac:dyDescent="0.3">
      <c r="A19" s="17" t="s">
        <v>176</v>
      </c>
      <c r="B19" s="31" t="s">
        <v>198</v>
      </c>
      <c r="C19" s="17" t="s">
        <v>199</v>
      </c>
      <c r="D19" s="17" t="s">
        <v>6</v>
      </c>
      <c r="E19" s="17">
        <v>3</v>
      </c>
      <c r="F19" s="21" t="s">
        <v>34</v>
      </c>
      <c r="G19" s="15"/>
      <c r="H19" s="15"/>
      <c r="I19" s="15"/>
      <c r="J19" s="15"/>
      <c r="K19" s="15"/>
      <c r="L19" s="15"/>
      <c r="M19" s="15"/>
      <c r="N19" s="15"/>
      <c r="O19" s="15"/>
      <c r="P19" s="15"/>
      <c r="Q19" s="15"/>
      <c r="R19" s="15"/>
      <c r="S19" s="15"/>
      <c r="T19" s="15"/>
      <c r="U19" s="15"/>
      <c r="V19" s="15"/>
      <c r="W19" s="15"/>
      <c r="X19" s="15"/>
      <c r="Y19" s="15"/>
      <c r="Z19" s="15"/>
    </row>
    <row r="20" spans="1:26" ht="30" customHeight="1" x14ac:dyDescent="0.3">
      <c r="A20" s="17" t="s">
        <v>176</v>
      </c>
      <c r="B20" s="32" t="s">
        <v>200</v>
      </c>
      <c r="C20" s="17" t="s">
        <v>201</v>
      </c>
      <c r="D20" s="17" t="s">
        <v>6</v>
      </c>
      <c r="E20" s="17">
        <v>1</v>
      </c>
      <c r="F20" s="21" t="s">
        <v>34</v>
      </c>
      <c r="G20" s="15"/>
      <c r="H20" s="15"/>
      <c r="I20" s="15"/>
      <c r="J20" s="15"/>
      <c r="K20" s="15"/>
      <c r="L20" s="15"/>
      <c r="M20" s="15"/>
      <c r="N20" s="15"/>
      <c r="O20" s="15"/>
      <c r="P20" s="15"/>
      <c r="Q20" s="15"/>
      <c r="R20" s="15"/>
      <c r="S20" s="15"/>
      <c r="T20" s="15"/>
      <c r="U20" s="15"/>
      <c r="V20" s="15"/>
      <c r="W20" s="15"/>
      <c r="X20" s="15"/>
      <c r="Y20" s="15"/>
      <c r="Z20" s="15"/>
    </row>
    <row r="21" spans="1:26" ht="30" customHeight="1" x14ac:dyDescent="0.3">
      <c r="A21" s="17" t="s">
        <v>178</v>
      </c>
      <c r="B21" s="28" t="s">
        <v>192</v>
      </c>
      <c r="C21" s="17" t="s">
        <v>202</v>
      </c>
      <c r="D21" s="17" t="s">
        <v>6</v>
      </c>
      <c r="E21" s="17">
        <v>2</v>
      </c>
      <c r="F21" s="21" t="s">
        <v>34</v>
      </c>
      <c r="G21" s="15"/>
      <c r="H21" s="15"/>
      <c r="I21" s="15"/>
      <c r="J21" s="15"/>
      <c r="K21" s="15"/>
      <c r="L21" s="15"/>
      <c r="M21" s="15"/>
      <c r="N21" s="15"/>
      <c r="O21" s="15"/>
      <c r="P21" s="15"/>
      <c r="Q21" s="15"/>
      <c r="R21" s="15"/>
      <c r="S21" s="15"/>
      <c r="T21" s="15"/>
      <c r="U21" s="15"/>
      <c r="V21" s="15"/>
      <c r="W21" s="15"/>
      <c r="X21" s="15"/>
      <c r="Y21" s="15"/>
      <c r="Z21" s="15"/>
    </row>
    <row r="22" spans="1:26" ht="30" customHeight="1" x14ac:dyDescent="0.3">
      <c r="A22" s="17" t="s">
        <v>178</v>
      </c>
      <c r="B22" s="30" t="s">
        <v>196</v>
      </c>
      <c r="C22" s="17" t="s">
        <v>203</v>
      </c>
      <c r="D22" s="17" t="s">
        <v>6</v>
      </c>
      <c r="E22" s="17">
        <v>3</v>
      </c>
      <c r="F22" s="21" t="s">
        <v>34</v>
      </c>
      <c r="G22" s="15"/>
      <c r="H22" s="15"/>
      <c r="I22" s="15"/>
      <c r="J22" s="15"/>
      <c r="K22" s="15"/>
      <c r="L22" s="15"/>
      <c r="M22" s="15"/>
      <c r="N22" s="15"/>
      <c r="O22" s="15"/>
      <c r="P22" s="15"/>
      <c r="Q22" s="15"/>
      <c r="R22" s="15"/>
      <c r="S22" s="15"/>
      <c r="T22" s="15"/>
      <c r="U22" s="15"/>
      <c r="V22" s="15"/>
      <c r="W22" s="15"/>
      <c r="X22" s="15"/>
      <c r="Y22" s="15"/>
      <c r="Z22" s="15"/>
    </row>
    <row r="23" spans="1:26" ht="30" customHeight="1" x14ac:dyDescent="0.3">
      <c r="A23" s="17" t="s">
        <v>178</v>
      </c>
      <c r="B23" s="31" t="s">
        <v>198</v>
      </c>
      <c r="C23" s="17" t="s">
        <v>204</v>
      </c>
      <c r="D23" s="17" t="s">
        <v>6</v>
      </c>
      <c r="E23" s="17">
        <v>3</v>
      </c>
      <c r="F23" s="21" t="s">
        <v>34</v>
      </c>
      <c r="G23" s="15"/>
      <c r="H23" s="15"/>
      <c r="I23" s="15"/>
      <c r="J23" s="15"/>
      <c r="K23" s="15"/>
      <c r="L23" s="15"/>
      <c r="M23" s="15"/>
      <c r="N23" s="15"/>
      <c r="O23" s="15"/>
      <c r="P23" s="15"/>
      <c r="Q23" s="15"/>
      <c r="R23" s="15"/>
      <c r="S23" s="15"/>
      <c r="T23" s="15"/>
      <c r="U23" s="15"/>
      <c r="V23" s="15"/>
      <c r="W23" s="15"/>
      <c r="X23" s="15"/>
      <c r="Y23" s="15"/>
      <c r="Z23" s="15"/>
    </row>
    <row r="24" spans="1:26" ht="30" customHeight="1" x14ac:dyDescent="0.3">
      <c r="A24" s="17" t="s">
        <v>178</v>
      </c>
      <c r="B24" s="32" t="s">
        <v>200</v>
      </c>
      <c r="C24" s="17" t="s">
        <v>205</v>
      </c>
      <c r="D24" s="17" t="s">
        <v>6</v>
      </c>
      <c r="E24" s="17">
        <v>1</v>
      </c>
      <c r="F24" s="21" t="s">
        <v>34</v>
      </c>
      <c r="G24" s="15"/>
      <c r="H24" s="15"/>
      <c r="I24" s="15"/>
      <c r="J24" s="15"/>
      <c r="K24" s="15"/>
      <c r="L24" s="15"/>
      <c r="M24" s="15"/>
      <c r="N24" s="15"/>
      <c r="O24" s="15"/>
      <c r="P24" s="15"/>
      <c r="Q24" s="15"/>
      <c r="R24" s="15"/>
      <c r="S24" s="15"/>
      <c r="T24" s="15"/>
      <c r="U24" s="15"/>
      <c r="V24" s="15"/>
      <c r="W24" s="15"/>
      <c r="X24" s="15"/>
      <c r="Y24" s="15"/>
      <c r="Z24" s="15"/>
    </row>
    <row r="25" spans="1:26" ht="30" customHeight="1" x14ac:dyDescent="0.3">
      <c r="A25" s="17" t="s">
        <v>180</v>
      </c>
      <c r="B25" s="30" t="s">
        <v>196</v>
      </c>
      <c r="C25" s="17" t="s">
        <v>206</v>
      </c>
      <c r="D25" s="17" t="s">
        <v>6</v>
      </c>
      <c r="E25" s="17">
        <v>3</v>
      </c>
      <c r="F25" s="21" t="s">
        <v>34</v>
      </c>
      <c r="G25" s="15"/>
      <c r="H25" s="15"/>
      <c r="I25" s="15"/>
      <c r="J25" s="15"/>
      <c r="K25" s="15"/>
      <c r="L25" s="15"/>
      <c r="M25" s="15"/>
      <c r="N25" s="15"/>
      <c r="O25" s="15"/>
      <c r="P25" s="15"/>
      <c r="Q25" s="15"/>
      <c r="R25" s="15"/>
      <c r="S25" s="15"/>
      <c r="T25" s="15"/>
      <c r="U25" s="15"/>
      <c r="V25" s="15"/>
      <c r="W25" s="15"/>
      <c r="X25" s="15"/>
      <c r="Y25" s="15"/>
      <c r="Z25" s="15"/>
    </row>
    <row r="26" spans="1:26" ht="30" customHeight="1" x14ac:dyDescent="0.3">
      <c r="A26" s="17" t="s">
        <v>180</v>
      </c>
      <c r="B26" s="32" t="s">
        <v>200</v>
      </c>
      <c r="C26" s="17" t="s">
        <v>207</v>
      </c>
      <c r="D26" s="17" t="s">
        <v>6</v>
      </c>
      <c r="E26" s="17">
        <v>1</v>
      </c>
      <c r="F26" s="21" t="s">
        <v>34</v>
      </c>
      <c r="G26" s="15"/>
      <c r="H26" s="15"/>
      <c r="I26" s="15"/>
      <c r="J26" s="15"/>
      <c r="K26" s="15"/>
      <c r="L26" s="15"/>
      <c r="M26" s="15"/>
      <c r="N26" s="15"/>
      <c r="O26" s="15"/>
      <c r="P26" s="15"/>
      <c r="Q26" s="15"/>
      <c r="R26" s="15"/>
      <c r="S26" s="15"/>
      <c r="T26" s="15"/>
      <c r="U26" s="15"/>
      <c r="V26" s="15"/>
      <c r="W26" s="15"/>
      <c r="X26" s="15"/>
      <c r="Y26" s="15"/>
      <c r="Z26" s="15"/>
    </row>
    <row r="27" spans="1:26" ht="30" customHeight="1" x14ac:dyDescent="0.3">
      <c r="A27" s="17" t="s">
        <v>182</v>
      </c>
      <c r="B27" s="28" t="s">
        <v>192</v>
      </c>
      <c r="C27" s="17" t="s">
        <v>208</v>
      </c>
      <c r="D27" s="17" t="s">
        <v>6</v>
      </c>
      <c r="E27" s="17">
        <v>1</v>
      </c>
      <c r="F27" s="21" t="s">
        <v>34</v>
      </c>
      <c r="G27" s="15"/>
      <c r="H27" s="15"/>
      <c r="I27" s="15"/>
      <c r="J27" s="15"/>
      <c r="K27" s="15"/>
      <c r="L27" s="15"/>
      <c r="M27" s="15"/>
      <c r="N27" s="15"/>
      <c r="O27" s="15"/>
      <c r="P27" s="15"/>
      <c r="Q27" s="15"/>
      <c r="R27" s="15"/>
      <c r="S27" s="15"/>
      <c r="T27" s="15"/>
      <c r="U27" s="15"/>
      <c r="V27" s="15"/>
      <c r="W27" s="15"/>
      <c r="X27" s="15"/>
      <c r="Y27" s="15"/>
      <c r="Z27" s="15"/>
    </row>
    <row r="28" spans="1:26" ht="30" customHeight="1" x14ac:dyDescent="0.3">
      <c r="A28" s="17" t="s">
        <v>182</v>
      </c>
      <c r="B28" s="29" t="s">
        <v>194</v>
      </c>
      <c r="C28" s="17" t="s">
        <v>209</v>
      </c>
      <c r="D28" s="17" t="s">
        <v>6</v>
      </c>
      <c r="E28" s="17">
        <v>1</v>
      </c>
      <c r="F28" s="21" t="s">
        <v>34</v>
      </c>
      <c r="G28" s="15"/>
      <c r="H28" s="15"/>
      <c r="I28" s="15"/>
      <c r="J28" s="15"/>
      <c r="K28" s="15"/>
      <c r="L28" s="15"/>
      <c r="M28" s="15"/>
      <c r="N28" s="15"/>
      <c r="O28" s="15"/>
      <c r="P28" s="15"/>
      <c r="Q28" s="15"/>
      <c r="R28" s="15"/>
      <c r="S28" s="15"/>
      <c r="T28" s="15"/>
      <c r="U28" s="15"/>
      <c r="V28" s="15"/>
      <c r="W28" s="15"/>
      <c r="X28" s="15"/>
      <c r="Y28" s="15"/>
      <c r="Z28" s="15"/>
    </row>
    <row r="29" spans="1:26" ht="30" customHeight="1" x14ac:dyDescent="0.3">
      <c r="A29" s="17" t="s">
        <v>182</v>
      </c>
      <c r="B29" s="30" t="s">
        <v>196</v>
      </c>
      <c r="C29" s="17" t="s">
        <v>210</v>
      </c>
      <c r="D29" s="17" t="s">
        <v>6</v>
      </c>
      <c r="E29" s="17">
        <v>2</v>
      </c>
      <c r="F29" s="21" t="s">
        <v>34</v>
      </c>
      <c r="G29" s="15"/>
      <c r="H29" s="15"/>
      <c r="I29" s="15"/>
      <c r="J29" s="15"/>
      <c r="K29" s="15"/>
      <c r="L29" s="15"/>
      <c r="M29" s="15"/>
      <c r="N29" s="15"/>
      <c r="O29" s="15"/>
      <c r="P29" s="15"/>
      <c r="Q29" s="15"/>
      <c r="R29" s="15"/>
      <c r="S29" s="15"/>
      <c r="T29" s="15"/>
      <c r="U29" s="15"/>
      <c r="V29" s="15"/>
      <c r="W29" s="15"/>
      <c r="X29" s="15"/>
      <c r="Y29" s="15"/>
      <c r="Z29" s="15"/>
    </row>
    <row r="30" spans="1:26" ht="30" customHeight="1" x14ac:dyDescent="0.3">
      <c r="A30" s="17" t="s">
        <v>182</v>
      </c>
      <c r="B30" s="31" t="s">
        <v>198</v>
      </c>
      <c r="C30" s="17" t="s">
        <v>211</v>
      </c>
      <c r="D30" s="17" t="s">
        <v>6</v>
      </c>
      <c r="E30" s="17">
        <v>3</v>
      </c>
      <c r="F30" s="21" t="s">
        <v>34</v>
      </c>
      <c r="G30" s="15"/>
      <c r="H30" s="15"/>
      <c r="I30" s="15"/>
      <c r="J30" s="15"/>
      <c r="K30" s="15"/>
      <c r="L30" s="15"/>
      <c r="M30" s="15"/>
      <c r="N30" s="15"/>
      <c r="O30" s="15"/>
      <c r="P30" s="15"/>
      <c r="Q30" s="15"/>
      <c r="R30" s="15"/>
      <c r="S30" s="15"/>
      <c r="T30" s="15"/>
      <c r="U30" s="15"/>
      <c r="V30" s="15"/>
      <c r="W30" s="15"/>
      <c r="X30" s="15"/>
      <c r="Y30" s="15"/>
      <c r="Z30" s="15"/>
    </row>
    <row r="31" spans="1:26" ht="30" customHeight="1" x14ac:dyDescent="0.3">
      <c r="A31" s="17" t="s">
        <v>182</v>
      </c>
      <c r="B31" s="32" t="s">
        <v>200</v>
      </c>
      <c r="C31" s="17" t="s">
        <v>212</v>
      </c>
      <c r="D31" s="17" t="s">
        <v>6</v>
      </c>
      <c r="E31" s="17">
        <v>1</v>
      </c>
      <c r="F31" s="21" t="s">
        <v>34</v>
      </c>
      <c r="G31" s="15"/>
      <c r="H31" s="15"/>
      <c r="I31" s="15"/>
      <c r="J31" s="15"/>
      <c r="K31" s="15"/>
      <c r="L31" s="15"/>
      <c r="M31" s="15"/>
      <c r="N31" s="15"/>
      <c r="O31" s="15"/>
      <c r="P31" s="15"/>
      <c r="Q31" s="15"/>
      <c r="R31" s="15"/>
      <c r="S31" s="15"/>
      <c r="T31" s="15"/>
      <c r="U31" s="15"/>
      <c r="V31" s="15"/>
      <c r="W31" s="15"/>
      <c r="X31" s="15"/>
      <c r="Y31" s="15"/>
      <c r="Z31" s="15"/>
    </row>
    <row r="32" spans="1:26" ht="30" customHeight="1" x14ac:dyDescent="0.3">
      <c r="A32" s="17" t="s">
        <v>184</v>
      </c>
      <c r="B32" s="28" t="s">
        <v>192</v>
      </c>
      <c r="C32" s="17" t="s">
        <v>213</v>
      </c>
      <c r="D32" s="17" t="s">
        <v>6</v>
      </c>
      <c r="E32" s="17">
        <v>1</v>
      </c>
      <c r="F32" s="21" t="s">
        <v>34</v>
      </c>
      <c r="G32" s="15"/>
      <c r="H32" s="15"/>
      <c r="I32" s="15"/>
      <c r="J32" s="15"/>
      <c r="K32" s="15"/>
      <c r="L32" s="15"/>
      <c r="M32" s="15"/>
      <c r="N32" s="15"/>
      <c r="O32" s="15"/>
      <c r="P32" s="15"/>
      <c r="Q32" s="15"/>
      <c r="R32" s="15"/>
      <c r="S32" s="15"/>
      <c r="T32" s="15"/>
      <c r="U32" s="15"/>
      <c r="V32" s="15"/>
      <c r="W32" s="15"/>
      <c r="X32" s="15"/>
      <c r="Y32" s="15"/>
      <c r="Z32" s="15"/>
    </row>
    <row r="33" spans="1:26" ht="30" customHeight="1" x14ac:dyDescent="0.3">
      <c r="A33" s="17" t="s">
        <v>184</v>
      </c>
      <c r="B33" s="29" t="s">
        <v>194</v>
      </c>
      <c r="C33" s="17" t="s">
        <v>214</v>
      </c>
      <c r="D33" s="17" t="s">
        <v>6</v>
      </c>
      <c r="E33" s="17">
        <v>1</v>
      </c>
      <c r="F33" s="21" t="s">
        <v>34</v>
      </c>
      <c r="G33" s="15"/>
      <c r="H33" s="15"/>
      <c r="I33" s="15"/>
      <c r="J33" s="15"/>
      <c r="K33" s="15"/>
      <c r="L33" s="15"/>
      <c r="M33" s="15"/>
      <c r="N33" s="15"/>
      <c r="O33" s="15"/>
      <c r="P33" s="15"/>
      <c r="Q33" s="15"/>
      <c r="R33" s="15"/>
      <c r="S33" s="15"/>
      <c r="T33" s="15"/>
      <c r="U33" s="15"/>
      <c r="V33" s="15"/>
      <c r="W33" s="15"/>
      <c r="X33" s="15"/>
      <c r="Y33" s="15"/>
      <c r="Z33" s="15"/>
    </row>
    <row r="34" spans="1:26" ht="30" customHeight="1" x14ac:dyDescent="0.3">
      <c r="A34" s="17" t="s">
        <v>184</v>
      </c>
      <c r="B34" s="30" t="s">
        <v>196</v>
      </c>
      <c r="C34" s="17" t="s">
        <v>215</v>
      </c>
      <c r="D34" s="17" t="s">
        <v>6</v>
      </c>
      <c r="E34" s="17">
        <v>2</v>
      </c>
      <c r="F34" s="21" t="s">
        <v>34</v>
      </c>
      <c r="G34" s="15"/>
      <c r="H34" s="15"/>
      <c r="I34" s="15"/>
      <c r="J34" s="15"/>
      <c r="K34" s="15"/>
      <c r="L34" s="15"/>
      <c r="M34" s="15"/>
      <c r="N34" s="15"/>
      <c r="O34" s="15"/>
      <c r="P34" s="15"/>
      <c r="Q34" s="15"/>
      <c r="R34" s="15"/>
      <c r="S34" s="15"/>
      <c r="T34" s="15"/>
      <c r="U34" s="15"/>
      <c r="V34" s="15"/>
      <c r="W34" s="15"/>
      <c r="X34" s="15"/>
      <c r="Y34" s="15"/>
      <c r="Z34" s="15"/>
    </row>
    <row r="35" spans="1:26" ht="30" customHeight="1" x14ac:dyDescent="0.3">
      <c r="A35" s="17" t="s">
        <v>184</v>
      </c>
      <c r="B35" s="31" t="s">
        <v>198</v>
      </c>
      <c r="C35" s="17" t="s">
        <v>216</v>
      </c>
      <c r="D35" s="17" t="s">
        <v>6</v>
      </c>
      <c r="E35" s="17">
        <v>2</v>
      </c>
      <c r="F35" s="21" t="s">
        <v>34</v>
      </c>
      <c r="G35" s="15"/>
      <c r="H35" s="15"/>
      <c r="I35" s="15"/>
      <c r="J35" s="15"/>
      <c r="K35" s="15"/>
      <c r="L35" s="15"/>
      <c r="M35" s="15"/>
      <c r="N35" s="15"/>
      <c r="O35" s="15"/>
      <c r="P35" s="15"/>
      <c r="Q35" s="15"/>
      <c r="R35" s="15"/>
      <c r="S35" s="15"/>
      <c r="T35" s="15"/>
      <c r="U35" s="15"/>
      <c r="V35" s="15"/>
      <c r="W35" s="15"/>
      <c r="X35" s="15"/>
      <c r="Y35" s="15"/>
      <c r="Z35" s="15"/>
    </row>
    <row r="36" spans="1:26" ht="30" customHeight="1" x14ac:dyDescent="0.3">
      <c r="A36" s="17" t="s">
        <v>184</v>
      </c>
      <c r="B36" s="32" t="s">
        <v>200</v>
      </c>
      <c r="C36" s="17" t="s">
        <v>217</v>
      </c>
      <c r="D36" s="17" t="s">
        <v>6</v>
      </c>
      <c r="E36" s="17">
        <v>1</v>
      </c>
      <c r="F36" s="21" t="s">
        <v>34</v>
      </c>
      <c r="G36" s="15"/>
      <c r="H36" s="15"/>
      <c r="I36" s="15"/>
      <c r="J36" s="15"/>
      <c r="K36" s="15"/>
      <c r="L36" s="15"/>
      <c r="M36" s="15"/>
      <c r="N36" s="15"/>
      <c r="O36" s="15"/>
      <c r="P36" s="15"/>
      <c r="Q36" s="15"/>
      <c r="R36" s="15"/>
      <c r="S36" s="15"/>
      <c r="T36" s="15"/>
      <c r="U36" s="15"/>
      <c r="V36" s="15"/>
      <c r="W36" s="15"/>
      <c r="X36" s="15"/>
      <c r="Y36" s="15"/>
      <c r="Z36" s="15"/>
    </row>
    <row r="37" spans="1:26" ht="30" customHeight="1" x14ac:dyDescent="0.3">
      <c r="A37" s="17" t="s">
        <v>186</v>
      </c>
      <c r="B37" s="28" t="s">
        <v>192</v>
      </c>
      <c r="C37" s="17" t="s">
        <v>218</v>
      </c>
      <c r="D37" s="17" t="s">
        <v>6</v>
      </c>
      <c r="E37" s="17">
        <v>2</v>
      </c>
      <c r="F37" s="21" t="s">
        <v>34</v>
      </c>
      <c r="G37" s="15"/>
      <c r="H37" s="15"/>
      <c r="I37" s="15"/>
      <c r="J37" s="15"/>
      <c r="K37" s="15"/>
      <c r="L37" s="15"/>
      <c r="M37" s="15"/>
      <c r="N37" s="15"/>
      <c r="O37" s="15"/>
      <c r="P37" s="15"/>
      <c r="Q37" s="15"/>
      <c r="R37" s="15"/>
      <c r="S37" s="15"/>
      <c r="T37" s="15"/>
      <c r="U37" s="15"/>
      <c r="V37" s="15"/>
      <c r="W37" s="15"/>
      <c r="X37" s="15"/>
      <c r="Y37" s="15"/>
      <c r="Z37" s="15"/>
    </row>
    <row r="38" spans="1:26" ht="30" customHeight="1" x14ac:dyDescent="0.3">
      <c r="A38" s="17" t="s">
        <v>186</v>
      </c>
      <c r="B38" s="29" t="s">
        <v>194</v>
      </c>
      <c r="C38" s="17" t="s">
        <v>219</v>
      </c>
      <c r="D38" s="17" t="s">
        <v>6</v>
      </c>
      <c r="E38" s="17">
        <v>2</v>
      </c>
      <c r="F38" s="21" t="s">
        <v>34</v>
      </c>
      <c r="G38" s="15"/>
      <c r="H38" s="15"/>
      <c r="I38" s="15"/>
      <c r="J38" s="15"/>
      <c r="K38" s="15"/>
      <c r="L38" s="15"/>
      <c r="M38" s="15"/>
      <c r="N38" s="15"/>
      <c r="O38" s="15"/>
      <c r="P38" s="15"/>
      <c r="Q38" s="15"/>
      <c r="R38" s="15"/>
      <c r="S38" s="15"/>
      <c r="T38" s="15"/>
      <c r="U38" s="15"/>
      <c r="V38" s="15"/>
      <c r="W38" s="15"/>
      <c r="X38" s="15"/>
      <c r="Y38" s="15"/>
      <c r="Z38" s="15"/>
    </row>
    <row r="39" spans="1:26" ht="30" customHeight="1" x14ac:dyDescent="0.3">
      <c r="A39" s="17" t="s">
        <v>186</v>
      </c>
      <c r="B39" s="30" t="s">
        <v>196</v>
      </c>
      <c r="C39" s="17" t="s">
        <v>220</v>
      </c>
      <c r="D39" s="17" t="s">
        <v>6</v>
      </c>
      <c r="E39" s="17">
        <v>4</v>
      </c>
      <c r="F39" s="21" t="s">
        <v>34</v>
      </c>
      <c r="G39" s="15"/>
      <c r="H39" s="15"/>
      <c r="I39" s="15"/>
      <c r="J39" s="15"/>
      <c r="K39" s="15"/>
      <c r="L39" s="15"/>
      <c r="M39" s="15"/>
      <c r="N39" s="15"/>
      <c r="O39" s="15"/>
      <c r="P39" s="15"/>
      <c r="Q39" s="15"/>
      <c r="R39" s="15"/>
      <c r="S39" s="15"/>
      <c r="T39" s="15"/>
      <c r="U39" s="15"/>
      <c r="V39" s="15"/>
      <c r="W39" s="15"/>
      <c r="X39" s="15"/>
      <c r="Y39" s="15"/>
      <c r="Z39" s="15"/>
    </row>
    <row r="40" spans="1:26" ht="30" customHeight="1" x14ac:dyDescent="0.3">
      <c r="A40" s="17" t="s">
        <v>186</v>
      </c>
      <c r="B40" s="31" t="s">
        <v>198</v>
      </c>
      <c r="C40" s="17" t="s">
        <v>221</v>
      </c>
      <c r="D40" s="17" t="s">
        <v>6</v>
      </c>
      <c r="E40" s="17">
        <v>4</v>
      </c>
      <c r="F40" s="21" t="s">
        <v>34</v>
      </c>
      <c r="G40" s="15"/>
      <c r="H40" s="15"/>
      <c r="I40" s="15"/>
      <c r="J40" s="15"/>
      <c r="K40" s="15"/>
      <c r="L40" s="15"/>
      <c r="M40" s="15"/>
      <c r="N40" s="15"/>
      <c r="O40" s="15"/>
      <c r="P40" s="15"/>
      <c r="Q40" s="15"/>
      <c r="R40" s="15"/>
      <c r="S40" s="15"/>
      <c r="T40" s="15"/>
      <c r="U40" s="15"/>
      <c r="V40" s="15"/>
      <c r="W40" s="15"/>
      <c r="X40" s="15"/>
      <c r="Y40" s="15"/>
      <c r="Z40" s="15"/>
    </row>
    <row r="41" spans="1:26" ht="30" customHeight="1" x14ac:dyDescent="0.3">
      <c r="A41" s="17" t="s">
        <v>186</v>
      </c>
      <c r="B41" s="32" t="s">
        <v>200</v>
      </c>
      <c r="C41" s="17" t="s">
        <v>222</v>
      </c>
      <c r="D41" s="17" t="s">
        <v>6</v>
      </c>
      <c r="E41" s="17">
        <v>1</v>
      </c>
      <c r="F41" s="21" t="s">
        <v>34</v>
      </c>
      <c r="G41" s="15"/>
      <c r="H41" s="15"/>
      <c r="I41" s="15"/>
      <c r="J41" s="15"/>
      <c r="K41" s="15"/>
      <c r="L41" s="15"/>
      <c r="M41" s="15"/>
      <c r="N41" s="15"/>
      <c r="O41" s="15"/>
      <c r="P41" s="15"/>
      <c r="Q41" s="15"/>
      <c r="R41" s="15"/>
      <c r="S41" s="15"/>
      <c r="T41" s="15"/>
      <c r="U41" s="15"/>
      <c r="V41" s="15"/>
      <c r="W41" s="15"/>
      <c r="X41" s="15"/>
      <c r="Y41" s="15"/>
      <c r="Z41" s="15"/>
    </row>
    <row r="42" spans="1:26" ht="15.75" customHeight="1"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ustomHeight="1" x14ac:dyDescent="0.3">
      <c r="A43" s="27" t="s">
        <v>223</v>
      </c>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ustomHeight="1" x14ac:dyDescent="0.3">
      <c r="A44" s="16" t="s">
        <v>174</v>
      </c>
      <c r="B44" s="16" t="s">
        <v>224</v>
      </c>
      <c r="C44" s="16" t="s">
        <v>225</v>
      </c>
      <c r="D44" s="16" t="s">
        <v>29</v>
      </c>
      <c r="E44" s="16" t="s">
        <v>191</v>
      </c>
      <c r="F44" s="16" t="s">
        <v>226</v>
      </c>
      <c r="G44" s="15"/>
      <c r="H44" s="15"/>
      <c r="I44" s="15"/>
      <c r="J44" s="15"/>
      <c r="K44" s="15"/>
      <c r="L44" s="15"/>
      <c r="M44" s="15"/>
      <c r="N44" s="15"/>
      <c r="O44" s="15"/>
      <c r="P44" s="15"/>
      <c r="Q44" s="15"/>
      <c r="R44" s="15"/>
      <c r="S44" s="15"/>
      <c r="T44" s="15"/>
      <c r="U44" s="15"/>
      <c r="V44" s="15"/>
      <c r="W44" s="15"/>
      <c r="X44" s="15"/>
      <c r="Y44" s="15"/>
      <c r="Z44" s="15"/>
    </row>
    <row r="45" spans="1:26" ht="27.75" customHeight="1" x14ac:dyDescent="0.3">
      <c r="A45" s="17" t="s">
        <v>176</v>
      </c>
      <c r="B45" s="33" t="s">
        <v>227</v>
      </c>
      <c r="C45" s="17" t="s">
        <v>228</v>
      </c>
      <c r="D45" s="17" t="s">
        <v>18</v>
      </c>
      <c r="E45" s="17">
        <v>1</v>
      </c>
      <c r="F45" s="34" t="s">
        <v>229</v>
      </c>
      <c r="G45" s="15"/>
      <c r="H45" s="15"/>
      <c r="I45" s="15"/>
      <c r="J45" s="15"/>
      <c r="K45" s="15"/>
      <c r="L45" s="15"/>
      <c r="M45" s="15"/>
      <c r="N45" s="15"/>
      <c r="O45" s="15"/>
      <c r="P45" s="15"/>
      <c r="Q45" s="15"/>
      <c r="R45" s="15"/>
      <c r="S45" s="15"/>
      <c r="T45" s="15"/>
      <c r="U45" s="15"/>
      <c r="V45" s="15"/>
      <c r="W45" s="15"/>
      <c r="X45" s="15"/>
      <c r="Y45" s="15"/>
      <c r="Z45" s="15"/>
    </row>
    <row r="46" spans="1:26" ht="27.75" customHeight="1" x14ac:dyDescent="0.3">
      <c r="A46" s="17" t="s">
        <v>176</v>
      </c>
      <c r="B46" s="33" t="s">
        <v>230</v>
      </c>
      <c r="C46" s="17" t="s">
        <v>231</v>
      </c>
      <c r="D46" s="17" t="s">
        <v>18</v>
      </c>
      <c r="E46" s="17">
        <v>1</v>
      </c>
      <c r="F46" s="34" t="s">
        <v>229</v>
      </c>
      <c r="G46" s="15"/>
      <c r="H46" s="15"/>
      <c r="I46" s="15"/>
      <c r="J46" s="15"/>
      <c r="K46" s="15"/>
      <c r="L46" s="15"/>
      <c r="M46" s="15"/>
      <c r="N46" s="15"/>
      <c r="O46" s="15"/>
      <c r="P46" s="15"/>
      <c r="Q46" s="15"/>
      <c r="R46" s="15"/>
      <c r="S46" s="15"/>
      <c r="T46" s="15"/>
      <c r="U46" s="15"/>
      <c r="V46" s="15"/>
      <c r="W46" s="15"/>
      <c r="X46" s="15"/>
      <c r="Y46" s="15"/>
      <c r="Z46" s="15"/>
    </row>
    <row r="47" spans="1:26" ht="27.75" customHeight="1" x14ac:dyDescent="0.3">
      <c r="A47" s="17" t="s">
        <v>178</v>
      </c>
      <c r="B47" s="33" t="s">
        <v>232</v>
      </c>
      <c r="C47" s="17" t="s">
        <v>233</v>
      </c>
      <c r="D47" s="17" t="s">
        <v>18</v>
      </c>
      <c r="E47" s="17">
        <v>1</v>
      </c>
      <c r="F47" s="34" t="s">
        <v>229</v>
      </c>
      <c r="G47" s="15"/>
      <c r="H47" s="15"/>
      <c r="I47" s="15"/>
      <c r="J47" s="15"/>
      <c r="K47" s="15"/>
      <c r="L47" s="15"/>
      <c r="M47" s="15"/>
      <c r="N47" s="15"/>
      <c r="O47" s="15"/>
      <c r="P47" s="15"/>
      <c r="Q47" s="15"/>
      <c r="R47" s="15"/>
      <c r="S47" s="15"/>
      <c r="T47" s="15"/>
      <c r="U47" s="15"/>
      <c r="V47" s="15"/>
      <c r="W47" s="15"/>
      <c r="X47" s="15"/>
      <c r="Y47" s="15"/>
      <c r="Z47" s="15"/>
    </row>
    <row r="48" spans="1:26" ht="27.75" customHeight="1" x14ac:dyDescent="0.3">
      <c r="A48" s="17" t="s">
        <v>178</v>
      </c>
      <c r="B48" s="33" t="s">
        <v>234</v>
      </c>
      <c r="C48" s="17" t="s">
        <v>235</v>
      </c>
      <c r="D48" s="17" t="s">
        <v>18</v>
      </c>
      <c r="E48" s="17">
        <v>1</v>
      </c>
      <c r="F48" s="34" t="s">
        <v>229</v>
      </c>
      <c r="G48" s="15"/>
      <c r="H48" s="15"/>
      <c r="I48" s="15"/>
      <c r="J48" s="15"/>
      <c r="K48" s="15"/>
      <c r="L48" s="15"/>
      <c r="M48" s="15"/>
      <c r="N48" s="15"/>
      <c r="O48" s="15"/>
      <c r="P48" s="15"/>
      <c r="Q48" s="15"/>
      <c r="R48" s="15"/>
      <c r="S48" s="15"/>
      <c r="T48" s="15"/>
      <c r="U48" s="15"/>
      <c r="V48" s="15"/>
      <c r="W48" s="15"/>
      <c r="X48" s="15"/>
      <c r="Y48" s="15"/>
      <c r="Z48" s="15"/>
    </row>
    <row r="49" spans="1:26" ht="27.75" customHeight="1" x14ac:dyDescent="0.3">
      <c r="A49" s="17" t="s">
        <v>180</v>
      </c>
      <c r="B49" s="33" t="s">
        <v>236</v>
      </c>
      <c r="C49" s="17" t="s">
        <v>237</v>
      </c>
      <c r="D49" s="17" t="s">
        <v>18</v>
      </c>
      <c r="E49" s="17">
        <v>1</v>
      </c>
      <c r="F49" s="34" t="s">
        <v>229</v>
      </c>
      <c r="G49" s="15"/>
      <c r="H49" s="15"/>
      <c r="I49" s="15"/>
      <c r="J49" s="15"/>
      <c r="K49" s="15"/>
      <c r="L49" s="15"/>
      <c r="M49" s="15"/>
      <c r="N49" s="15"/>
      <c r="O49" s="15"/>
      <c r="P49" s="15"/>
      <c r="Q49" s="15"/>
      <c r="R49" s="15"/>
      <c r="S49" s="15"/>
      <c r="T49" s="15"/>
      <c r="U49" s="15"/>
      <c r="V49" s="15"/>
      <c r="W49" s="15"/>
      <c r="X49" s="15"/>
      <c r="Y49" s="15"/>
      <c r="Z49" s="15"/>
    </row>
    <row r="50" spans="1:26" ht="27.75" customHeight="1" x14ac:dyDescent="0.3">
      <c r="A50" s="17" t="s">
        <v>182</v>
      </c>
      <c r="B50" s="33" t="s">
        <v>238</v>
      </c>
      <c r="C50" s="17" t="s">
        <v>239</v>
      </c>
      <c r="D50" s="17" t="s">
        <v>18</v>
      </c>
      <c r="E50" s="17">
        <v>1</v>
      </c>
      <c r="F50" s="34" t="s">
        <v>229</v>
      </c>
      <c r="G50" s="15"/>
      <c r="H50" s="15"/>
      <c r="I50" s="15"/>
      <c r="J50" s="15"/>
      <c r="K50" s="15"/>
      <c r="L50" s="15"/>
      <c r="M50" s="15"/>
      <c r="N50" s="15"/>
      <c r="O50" s="15"/>
      <c r="P50" s="15"/>
      <c r="Q50" s="15"/>
      <c r="R50" s="15"/>
      <c r="S50" s="15"/>
      <c r="T50" s="15"/>
      <c r="U50" s="15"/>
      <c r="V50" s="15"/>
      <c r="W50" s="15"/>
      <c r="X50" s="15"/>
      <c r="Y50" s="15"/>
      <c r="Z50" s="15"/>
    </row>
    <row r="51" spans="1:26" ht="27.75" customHeight="1" x14ac:dyDescent="0.3">
      <c r="A51" s="17" t="s">
        <v>182</v>
      </c>
      <c r="B51" s="33" t="s">
        <v>240</v>
      </c>
      <c r="C51" s="17" t="s">
        <v>241</v>
      </c>
      <c r="D51" s="17" t="s">
        <v>18</v>
      </c>
      <c r="E51" s="17">
        <v>1</v>
      </c>
      <c r="F51" s="34" t="s">
        <v>229</v>
      </c>
      <c r="G51" s="15"/>
      <c r="H51" s="15"/>
      <c r="I51" s="15"/>
      <c r="J51" s="15"/>
      <c r="K51" s="15"/>
      <c r="L51" s="15"/>
      <c r="M51" s="15"/>
      <c r="N51" s="15"/>
      <c r="O51" s="15"/>
      <c r="P51" s="15"/>
      <c r="Q51" s="15"/>
      <c r="R51" s="15"/>
      <c r="S51" s="15"/>
      <c r="T51" s="15"/>
      <c r="U51" s="15"/>
      <c r="V51" s="15"/>
      <c r="W51" s="15"/>
      <c r="X51" s="15"/>
      <c r="Y51" s="15"/>
      <c r="Z51" s="15"/>
    </row>
    <row r="52" spans="1:26" ht="27.75" customHeight="1" x14ac:dyDescent="0.3">
      <c r="A52" s="17" t="s">
        <v>184</v>
      </c>
      <c r="B52" s="33" t="s">
        <v>242</v>
      </c>
      <c r="C52" s="17" t="s">
        <v>243</v>
      </c>
      <c r="D52" s="17" t="s">
        <v>18</v>
      </c>
      <c r="E52" s="17">
        <v>1</v>
      </c>
      <c r="F52" s="34" t="s">
        <v>229</v>
      </c>
      <c r="G52" s="15"/>
      <c r="H52" s="15"/>
      <c r="I52" s="15"/>
      <c r="J52" s="15"/>
      <c r="K52" s="15"/>
      <c r="L52" s="15"/>
      <c r="M52" s="15"/>
      <c r="N52" s="15"/>
      <c r="O52" s="15"/>
      <c r="P52" s="15"/>
      <c r="Q52" s="15"/>
      <c r="R52" s="15"/>
      <c r="S52" s="15"/>
      <c r="T52" s="15"/>
      <c r="U52" s="15"/>
      <c r="V52" s="15"/>
      <c r="W52" s="15"/>
      <c r="X52" s="15"/>
      <c r="Y52" s="15"/>
      <c r="Z52" s="15"/>
    </row>
    <row r="53" spans="1:26" ht="27.75" customHeight="1" x14ac:dyDescent="0.3">
      <c r="A53" s="17" t="s">
        <v>186</v>
      </c>
      <c r="B53" s="33" t="s">
        <v>244</v>
      </c>
      <c r="C53" s="17" t="s">
        <v>245</v>
      </c>
      <c r="D53" s="17" t="s">
        <v>18</v>
      </c>
      <c r="E53" s="17">
        <v>1</v>
      </c>
      <c r="F53" s="34" t="s">
        <v>229</v>
      </c>
      <c r="G53" s="15"/>
      <c r="H53" s="15"/>
      <c r="I53" s="15"/>
      <c r="J53" s="15"/>
      <c r="K53" s="15"/>
      <c r="L53" s="15"/>
      <c r="M53" s="15"/>
      <c r="N53" s="15"/>
      <c r="O53" s="15"/>
      <c r="P53" s="15"/>
      <c r="Q53" s="15"/>
      <c r="R53" s="15"/>
      <c r="S53" s="15"/>
      <c r="T53" s="15"/>
      <c r="U53" s="15"/>
      <c r="V53" s="15"/>
      <c r="W53" s="15"/>
      <c r="X53" s="15"/>
      <c r="Y53" s="15"/>
      <c r="Z53" s="15"/>
    </row>
    <row r="54" spans="1:26" ht="27.75" customHeight="1" x14ac:dyDescent="0.3">
      <c r="A54" s="17" t="s">
        <v>186</v>
      </c>
      <c r="B54" s="33" t="s">
        <v>246</v>
      </c>
      <c r="C54" s="17" t="s">
        <v>247</v>
      </c>
      <c r="D54" s="17" t="s">
        <v>18</v>
      </c>
      <c r="E54" s="17">
        <v>1</v>
      </c>
      <c r="F54" s="34" t="s">
        <v>229</v>
      </c>
      <c r="G54" s="15"/>
      <c r="H54" s="15"/>
      <c r="I54" s="15"/>
      <c r="J54" s="15"/>
      <c r="K54" s="15"/>
      <c r="L54" s="15"/>
      <c r="M54" s="15"/>
      <c r="N54" s="15"/>
      <c r="O54" s="15"/>
      <c r="P54" s="15"/>
      <c r="Q54" s="15"/>
      <c r="R54" s="15"/>
      <c r="S54" s="15"/>
      <c r="T54" s="15"/>
      <c r="U54" s="15"/>
      <c r="V54" s="15"/>
      <c r="W54" s="15"/>
      <c r="X54" s="15"/>
      <c r="Y54" s="15"/>
      <c r="Z54" s="15"/>
    </row>
    <row r="55" spans="1:26" ht="15.75" customHeight="1"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ustomHeight="1" x14ac:dyDescent="0.3">
      <c r="A56" s="27" t="s">
        <v>248</v>
      </c>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ustomHeight="1" x14ac:dyDescent="0.3">
      <c r="A57" s="16" t="s">
        <v>190</v>
      </c>
      <c r="B57" s="16" t="s">
        <v>29</v>
      </c>
      <c r="C57" s="16" t="s">
        <v>191</v>
      </c>
      <c r="D57" s="16" t="s">
        <v>27</v>
      </c>
      <c r="E57" s="15"/>
      <c r="F57" s="15"/>
      <c r="G57" s="15"/>
      <c r="H57" s="15"/>
      <c r="I57" s="15"/>
      <c r="J57" s="15"/>
      <c r="K57" s="15"/>
      <c r="L57" s="15"/>
      <c r="M57" s="15"/>
      <c r="N57" s="15"/>
      <c r="O57" s="15"/>
      <c r="P57" s="15"/>
      <c r="Q57" s="15"/>
      <c r="R57" s="15"/>
      <c r="S57" s="15"/>
      <c r="T57" s="15"/>
      <c r="U57" s="15"/>
      <c r="V57" s="15"/>
      <c r="W57" s="15"/>
      <c r="X57" s="15"/>
      <c r="Y57" s="15"/>
      <c r="Z57" s="15"/>
    </row>
    <row r="58" spans="1:26" ht="15.75" customHeight="1" x14ac:dyDescent="0.3">
      <c r="A58" s="17" t="s">
        <v>249</v>
      </c>
      <c r="B58" s="17" t="s">
        <v>12</v>
      </c>
      <c r="C58" s="17">
        <v>2</v>
      </c>
      <c r="D58" s="21" t="s">
        <v>34</v>
      </c>
      <c r="E58" s="15"/>
      <c r="F58" s="15"/>
      <c r="G58" s="15"/>
      <c r="H58" s="15"/>
      <c r="I58" s="15"/>
      <c r="J58" s="15"/>
      <c r="K58" s="15"/>
      <c r="L58" s="15"/>
      <c r="M58" s="15"/>
      <c r="N58" s="15"/>
      <c r="O58" s="15"/>
      <c r="P58" s="15"/>
      <c r="Q58" s="15"/>
      <c r="R58" s="15"/>
      <c r="S58" s="15"/>
      <c r="T58" s="15"/>
      <c r="U58" s="15"/>
      <c r="V58" s="15"/>
      <c r="W58" s="15"/>
      <c r="X58" s="15"/>
      <c r="Y58" s="15"/>
      <c r="Z58" s="15"/>
    </row>
    <row r="59" spans="1:26" ht="15.75" customHeight="1" x14ac:dyDescent="0.3">
      <c r="A59" s="17" t="s">
        <v>250</v>
      </c>
      <c r="B59" s="17" t="s">
        <v>12</v>
      </c>
      <c r="C59" s="17">
        <v>3</v>
      </c>
      <c r="D59" s="21" t="s">
        <v>34</v>
      </c>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x14ac:dyDescent="0.3">
      <c r="A60" s="17" t="s">
        <v>251</v>
      </c>
      <c r="B60" s="17" t="s">
        <v>12</v>
      </c>
      <c r="C60" s="17">
        <v>2</v>
      </c>
      <c r="D60" s="21" t="s">
        <v>34</v>
      </c>
      <c r="E60" s="15"/>
      <c r="F60" s="15"/>
      <c r="G60" s="15"/>
      <c r="H60" s="15"/>
      <c r="I60" s="15"/>
      <c r="J60" s="15"/>
      <c r="K60" s="15"/>
      <c r="L60" s="15"/>
      <c r="M60" s="15"/>
      <c r="N60" s="15"/>
      <c r="O60" s="15"/>
      <c r="P60" s="15"/>
      <c r="Q60" s="15"/>
      <c r="R60" s="15"/>
      <c r="S60" s="15"/>
      <c r="T60" s="15"/>
      <c r="U60" s="15"/>
      <c r="V60" s="15"/>
      <c r="W60" s="15"/>
      <c r="X60" s="15"/>
      <c r="Y60" s="15"/>
      <c r="Z60" s="15"/>
    </row>
    <row r="61" spans="1:26" ht="15.75" customHeight="1"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ustomHeight="1" x14ac:dyDescent="0.3">
      <c r="A62" s="35"/>
      <c r="B62" s="36" t="s">
        <v>252</v>
      </c>
      <c r="C62" s="35"/>
      <c r="D62" s="35"/>
      <c r="E62" s="36">
        <f>SUM(E16:E41)</f>
        <v>54</v>
      </c>
      <c r="F62" s="15"/>
      <c r="G62" s="15"/>
      <c r="H62" s="15"/>
      <c r="I62" s="15"/>
      <c r="J62" s="15"/>
      <c r="K62" s="15"/>
      <c r="L62" s="15"/>
      <c r="M62" s="15"/>
      <c r="N62" s="15"/>
      <c r="O62" s="15"/>
      <c r="P62" s="15"/>
      <c r="Q62" s="15"/>
      <c r="R62" s="15"/>
      <c r="S62" s="15"/>
      <c r="T62" s="15"/>
      <c r="U62" s="15"/>
      <c r="V62" s="15"/>
      <c r="W62" s="15"/>
      <c r="X62" s="15"/>
      <c r="Y62" s="15"/>
      <c r="Z62" s="15"/>
    </row>
    <row r="63" spans="1:26" ht="15.75" customHeight="1" x14ac:dyDescent="0.3">
      <c r="A63" s="35"/>
      <c r="B63" s="36" t="s">
        <v>253</v>
      </c>
      <c r="C63" s="35"/>
      <c r="D63" s="35"/>
      <c r="E63" s="36">
        <f>SUM(E45:E54)</f>
        <v>10</v>
      </c>
      <c r="F63" s="15"/>
      <c r="G63" s="15"/>
      <c r="H63" s="15"/>
      <c r="I63" s="15"/>
      <c r="J63" s="15"/>
      <c r="K63" s="15"/>
      <c r="L63" s="15"/>
      <c r="M63" s="15"/>
      <c r="N63" s="15"/>
      <c r="O63" s="15"/>
      <c r="P63" s="15"/>
      <c r="Q63" s="15"/>
      <c r="R63" s="15"/>
      <c r="S63" s="15"/>
      <c r="T63" s="15"/>
      <c r="U63" s="15"/>
      <c r="V63" s="15"/>
      <c r="W63" s="15"/>
      <c r="X63" s="15"/>
      <c r="Y63" s="15"/>
      <c r="Z63" s="15"/>
    </row>
    <row r="64" spans="1:26" ht="15.75" customHeight="1" x14ac:dyDescent="0.3">
      <c r="A64" s="36" t="s">
        <v>254</v>
      </c>
      <c r="B64" s="35"/>
      <c r="C64" s="36">
        <f>SUM(C58:C60)</f>
        <v>7</v>
      </c>
      <c r="D64" s="3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customHeight="1"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customHeight="1"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customHeight="1"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customHeight="1"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customHeight="1"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customHeight="1"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customHeight="1"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customHeight="1"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customHeight="1"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customHeight="1"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customHeight="1"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75" customHeight="1"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75" customHeight="1"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75" customHeight="1"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75" customHeight="1"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75" customHeigh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75" customHeigh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75" customHeigh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75" customHeigh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75" customHeigh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75" customHeigh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75" customHeight="1"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75" customHeight="1"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75" customHeight="1"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75" customHeight="1"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75" customHeight="1"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75" customHeight="1"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75" customHeight="1"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75" customHeight="1"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75" customHeight="1"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75" customHeight="1"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75" customHeight="1"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75" customHeight="1"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75" customHeight="1"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75" customHeight="1"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75" customHeight="1"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75" customHeight="1"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75" customHeight="1"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75" customHeight="1"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75" customHeight="1"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75" customHeight="1"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75" customHeight="1"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75" customHeight="1"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75" customHeight="1" x14ac:dyDescent="0.3">
      <c r="A265" s="19"/>
      <c r="B265" s="19"/>
      <c r="C265" s="19"/>
      <c r="D265" s="19"/>
      <c r="E265" s="19"/>
      <c r="F265" s="19"/>
    </row>
    <row r="266" spans="1:26" ht="15.75" customHeight="1" x14ac:dyDescent="0.3">
      <c r="A266" s="19"/>
      <c r="B266" s="19"/>
      <c r="C266" s="19"/>
      <c r="D266" s="19"/>
      <c r="E266" s="19"/>
      <c r="F266" s="19"/>
    </row>
    <row r="267" spans="1:26" ht="15.75" customHeight="1" x14ac:dyDescent="0.3">
      <c r="A267" s="19"/>
      <c r="B267" s="19"/>
      <c r="C267" s="19"/>
      <c r="D267" s="19"/>
      <c r="E267" s="19"/>
      <c r="F267" s="19"/>
    </row>
    <row r="268" spans="1:26" ht="15.75" customHeight="1" x14ac:dyDescent="0.3">
      <c r="A268" s="19"/>
      <c r="B268" s="19"/>
      <c r="C268" s="19"/>
      <c r="D268" s="19"/>
      <c r="E268" s="19"/>
      <c r="F268" s="19"/>
    </row>
    <row r="269" spans="1:26" ht="15.75" customHeight="1" x14ac:dyDescent="0.3">
      <c r="A269" s="19"/>
      <c r="B269" s="19"/>
      <c r="C269" s="19"/>
      <c r="D269" s="19"/>
      <c r="E269" s="19"/>
      <c r="F269" s="19"/>
    </row>
    <row r="270" spans="1:26" ht="15.75" customHeight="1" x14ac:dyDescent="0.3">
      <c r="A270" s="19"/>
      <c r="B270" s="19"/>
      <c r="C270" s="19"/>
      <c r="D270" s="19"/>
      <c r="E270" s="19"/>
      <c r="F270" s="19"/>
    </row>
    <row r="271" spans="1:26" ht="15.75" customHeight="1" x14ac:dyDescent="0.3">
      <c r="A271" s="19"/>
      <c r="B271" s="19"/>
      <c r="C271" s="19"/>
      <c r="D271" s="19"/>
      <c r="E271" s="19"/>
      <c r="F271" s="19"/>
    </row>
    <row r="272" spans="1:26" ht="15.75" customHeight="1" x14ac:dyDescent="0.3">
      <c r="A272" s="19"/>
      <c r="B272" s="19"/>
      <c r="C272" s="19"/>
      <c r="D272" s="19"/>
      <c r="E272" s="19"/>
      <c r="F272" s="19"/>
    </row>
    <row r="273" spans="1:6" ht="15.75" customHeight="1" x14ac:dyDescent="0.3">
      <c r="A273" s="19"/>
      <c r="B273" s="19"/>
      <c r="C273" s="19"/>
      <c r="D273" s="19"/>
      <c r="E273" s="19"/>
      <c r="F273" s="19"/>
    </row>
    <row r="274" spans="1:6" ht="15.75" customHeight="1" x14ac:dyDescent="0.3">
      <c r="A274" s="19"/>
      <c r="B274" s="19"/>
      <c r="C274" s="19"/>
      <c r="D274" s="19"/>
      <c r="E274" s="19"/>
      <c r="F274" s="19"/>
    </row>
    <row r="275" spans="1:6" ht="15.75" customHeight="1" x14ac:dyDescent="0.3">
      <c r="A275" s="19"/>
      <c r="B275" s="19"/>
      <c r="C275" s="19"/>
      <c r="D275" s="19"/>
      <c r="E275" s="19"/>
      <c r="F275" s="19"/>
    </row>
    <row r="276" spans="1:6" ht="15.75" customHeight="1" x14ac:dyDescent="0.3">
      <c r="A276" s="19"/>
      <c r="B276" s="19"/>
      <c r="C276" s="19"/>
      <c r="D276" s="19"/>
      <c r="E276" s="19"/>
      <c r="F276" s="19"/>
    </row>
    <row r="277" spans="1:6" ht="15.75" customHeight="1" x14ac:dyDescent="0.3">
      <c r="A277" s="19"/>
      <c r="B277" s="19"/>
      <c r="C277" s="19"/>
      <c r="D277" s="19"/>
      <c r="E277" s="19"/>
      <c r="F277" s="19"/>
    </row>
    <row r="278" spans="1:6" ht="15.75" customHeight="1" x14ac:dyDescent="0.3">
      <c r="A278" s="19"/>
      <c r="B278" s="19"/>
      <c r="C278" s="19"/>
      <c r="D278" s="19"/>
      <c r="E278" s="19"/>
      <c r="F278" s="19"/>
    </row>
    <row r="279" spans="1:6" ht="15.75" customHeight="1" x14ac:dyDescent="0.3">
      <c r="A279" s="19"/>
      <c r="B279" s="19"/>
      <c r="C279" s="19"/>
      <c r="D279" s="19"/>
      <c r="E279" s="19"/>
      <c r="F279" s="19"/>
    </row>
    <row r="280" spans="1:6" ht="15.75" customHeight="1" x14ac:dyDescent="0.3">
      <c r="A280" s="19"/>
      <c r="B280" s="19"/>
      <c r="C280" s="19"/>
      <c r="D280" s="19"/>
      <c r="E280" s="19"/>
      <c r="F280" s="19"/>
    </row>
    <row r="281" spans="1:6" ht="15.75" customHeight="1" x14ac:dyDescent="0.3">
      <c r="A281" s="19"/>
      <c r="B281" s="19"/>
      <c r="C281" s="19"/>
      <c r="D281" s="19"/>
      <c r="E281" s="19"/>
      <c r="F281" s="19"/>
    </row>
    <row r="282" spans="1:6" ht="15.75" customHeight="1" x14ac:dyDescent="0.3">
      <c r="A282" s="19"/>
      <c r="B282" s="19"/>
      <c r="C282" s="19"/>
      <c r="D282" s="19"/>
      <c r="E282" s="19"/>
      <c r="F282" s="19"/>
    </row>
    <row r="283" spans="1:6" ht="15.75" customHeight="1" x14ac:dyDescent="0.3">
      <c r="A283" s="19"/>
      <c r="B283" s="19"/>
      <c r="C283" s="19"/>
      <c r="D283" s="19"/>
      <c r="E283" s="19"/>
      <c r="F283" s="19"/>
    </row>
    <row r="284" spans="1:6" ht="15.75" customHeight="1" x14ac:dyDescent="0.3">
      <c r="A284" s="19"/>
      <c r="B284" s="19"/>
      <c r="C284" s="19"/>
      <c r="D284" s="19"/>
      <c r="E284" s="19"/>
      <c r="F284" s="19"/>
    </row>
    <row r="285" spans="1:6" ht="15.75" customHeight="1" x14ac:dyDescent="0.3">
      <c r="A285" s="19"/>
      <c r="B285" s="19"/>
      <c r="C285" s="19"/>
      <c r="D285" s="19"/>
      <c r="E285" s="19"/>
      <c r="F285" s="19"/>
    </row>
    <row r="286" spans="1:6" ht="15.75" customHeight="1" x14ac:dyDescent="0.3">
      <c r="A286" s="19"/>
      <c r="B286" s="19"/>
      <c r="C286" s="19"/>
      <c r="D286" s="19"/>
      <c r="E286" s="19"/>
      <c r="F286" s="19"/>
    </row>
    <row r="287" spans="1:6" ht="15.75" customHeight="1" x14ac:dyDescent="0.3">
      <c r="A287" s="19"/>
      <c r="B287" s="19"/>
      <c r="C287" s="19"/>
      <c r="D287" s="19"/>
      <c r="E287" s="19"/>
      <c r="F287" s="19"/>
    </row>
    <row r="288" spans="1:6" ht="15.75" customHeight="1" x14ac:dyDescent="0.3">
      <c r="A288" s="19"/>
      <c r="B288" s="19"/>
      <c r="C288" s="19"/>
      <c r="D288" s="19"/>
      <c r="E288" s="19"/>
      <c r="F288" s="19"/>
    </row>
    <row r="289" spans="1:6" ht="15.75" customHeight="1" x14ac:dyDescent="0.3">
      <c r="A289" s="19"/>
      <c r="B289" s="19"/>
      <c r="C289" s="19"/>
      <c r="D289" s="19"/>
      <c r="E289" s="19"/>
      <c r="F289" s="19"/>
    </row>
    <row r="290" spans="1:6" ht="15.75" customHeight="1" x14ac:dyDescent="0.3">
      <c r="A290" s="19"/>
      <c r="B290" s="19"/>
      <c r="C290" s="19"/>
      <c r="D290" s="19"/>
      <c r="E290" s="19"/>
      <c r="F290" s="19"/>
    </row>
    <row r="291" spans="1:6" ht="15.75" customHeight="1" x14ac:dyDescent="0.3">
      <c r="A291" s="19"/>
      <c r="B291" s="19"/>
      <c r="C291" s="19"/>
      <c r="D291" s="19"/>
      <c r="E291" s="19"/>
      <c r="F291" s="19"/>
    </row>
    <row r="292" spans="1:6" ht="15.75" customHeight="1" x14ac:dyDescent="0.3">
      <c r="A292" s="19"/>
      <c r="B292" s="19"/>
      <c r="C292" s="19"/>
      <c r="D292" s="19"/>
      <c r="E292" s="19"/>
      <c r="F292" s="19"/>
    </row>
    <row r="293" spans="1:6" ht="15.75" customHeight="1" x14ac:dyDescent="0.3">
      <c r="A293" s="19"/>
      <c r="B293" s="19"/>
      <c r="C293" s="19"/>
      <c r="D293" s="19"/>
      <c r="E293" s="19"/>
      <c r="F293" s="19"/>
    </row>
    <row r="294" spans="1:6" ht="15.75" customHeight="1" x14ac:dyDescent="0.3">
      <c r="A294" s="19"/>
      <c r="B294" s="19"/>
      <c r="C294" s="19"/>
      <c r="D294" s="19"/>
      <c r="E294" s="19"/>
      <c r="F294" s="19"/>
    </row>
    <row r="295" spans="1:6" ht="15.75" customHeight="1" x14ac:dyDescent="0.3">
      <c r="A295" s="19"/>
      <c r="B295" s="19"/>
      <c r="C295" s="19"/>
      <c r="D295" s="19"/>
      <c r="E295" s="19"/>
      <c r="F295" s="19"/>
    </row>
    <row r="296" spans="1:6" ht="15.75" customHeight="1" x14ac:dyDescent="0.3">
      <c r="A296" s="19"/>
      <c r="B296" s="19"/>
      <c r="C296" s="19"/>
      <c r="D296" s="19"/>
      <c r="E296" s="19"/>
      <c r="F296" s="19"/>
    </row>
    <row r="297" spans="1:6" ht="15.75" customHeight="1" x14ac:dyDescent="0.3">
      <c r="A297" s="19"/>
      <c r="B297" s="19"/>
      <c r="C297" s="19"/>
      <c r="D297" s="19"/>
      <c r="E297" s="19"/>
      <c r="F297" s="19"/>
    </row>
    <row r="298" spans="1:6" ht="15.75" customHeight="1" x14ac:dyDescent="0.3">
      <c r="A298" s="19"/>
      <c r="B298" s="19"/>
      <c r="C298" s="19"/>
      <c r="D298" s="19"/>
      <c r="E298" s="19"/>
      <c r="F298" s="19"/>
    </row>
    <row r="299" spans="1:6" ht="15.75" customHeight="1" x14ac:dyDescent="0.3">
      <c r="A299" s="19"/>
      <c r="B299" s="19"/>
      <c r="C299" s="19"/>
      <c r="D299" s="19"/>
      <c r="E299" s="19"/>
      <c r="F299" s="19"/>
    </row>
    <row r="300" spans="1:6" ht="15.75" customHeight="1" x14ac:dyDescent="0.3">
      <c r="A300" s="19"/>
      <c r="B300" s="19"/>
      <c r="C300" s="19"/>
      <c r="D300" s="19"/>
      <c r="E300" s="19"/>
      <c r="F300" s="19"/>
    </row>
    <row r="301" spans="1:6" ht="15.75" customHeight="1" x14ac:dyDescent="0.3">
      <c r="A301" s="19"/>
      <c r="B301" s="19"/>
      <c r="C301" s="19"/>
      <c r="D301" s="19"/>
      <c r="E301" s="19"/>
      <c r="F301" s="19"/>
    </row>
    <row r="302" spans="1:6" ht="15.75" customHeight="1" x14ac:dyDescent="0.3">
      <c r="A302" s="19"/>
      <c r="B302" s="19"/>
      <c r="C302" s="19"/>
      <c r="D302" s="19"/>
      <c r="E302" s="19"/>
      <c r="F302" s="19"/>
    </row>
    <row r="303" spans="1:6" ht="15.75" customHeight="1" x14ac:dyDescent="0.3">
      <c r="A303" s="19"/>
      <c r="B303" s="19"/>
      <c r="C303" s="19"/>
      <c r="D303" s="19"/>
      <c r="E303" s="19"/>
      <c r="F303" s="19"/>
    </row>
    <row r="304" spans="1:6" ht="15.75" customHeight="1" x14ac:dyDescent="0.3">
      <c r="A304" s="19"/>
      <c r="B304" s="19"/>
      <c r="C304" s="19"/>
      <c r="D304" s="19"/>
      <c r="E304" s="19"/>
      <c r="F304" s="19"/>
    </row>
    <row r="305" spans="1:6" ht="15.75" customHeight="1" x14ac:dyDescent="0.3">
      <c r="A305" s="19"/>
      <c r="B305" s="19"/>
      <c r="C305" s="19"/>
      <c r="D305" s="19"/>
      <c r="E305" s="19"/>
      <c r="F305" s="19"/>
    </row>
    <row r="306" spans="1:6" ht="15.75" customHeight="1" x14ac:dyDescent="0.3">
      <c r="A306" s="19"/>
      <c r="B306" s="19"/>
      <c r="C306" s="19"/>
      <c r="D306" s="19"/>
      <c r="E306" s="19"/>
      <c r="F306" s="19"/>
    </row>
    <row r="307" spans="1:6" ht="15.75" customHeight="1" x14ac:dyDescent="0.3">
      <c r="A307" s="19"/>
      <c r="B307" s="19"/>
      <c r="C307" s="19"/>
      <c r="D307" s="19"/>
      <c r="E307" s="19"/>
      <c r="F307" s="19"/>
    </row>
    <row r="308" spans="1:6" ht="15.75" customHeight="1" x14ac:dyDescent="0.3">
      <c r="A308" s="19"/>
      <c r="B308" s="19"/>
      <c r="C308" s="19"/>
      <c r="D308" s="19"/>
      <c r="E308" s="19"/>
      <c r="F308" s="19"/>
    </row>
    <row r="309" spans="1:6" ht="15.75" customHeight="1" x14ac:dyDescent="0.3">
      <c r="A309" s="19"/>
      <c r="B309" s="19"/>
      <c r="C309" s="19"/>
      <c r="D309" s="19"/>
      <c r="E309" s="19"/>
      <c r="F309" s="19"/>
    </row>
    <row r="310" spans="1:6" ht="15.75" customHeight="1" x14ac:dyDescent="0.3">
      <c r="A310" s="19"/>
      <c r="B310" s="19"/>
      <c r="C310" s="19"/>
      <c r="D310" s="19"/>
      <c r="E310" s="19"/>
      <c r="F310" s="19"/>
    </row>
    <row r="311" spans="1:6" ht="15.75" customHeight="1" x14ac:dyDescent="0.3">
      <c r="A311" s="19"/>
      <c r="B311" s="19"/>
      <c r="C311" s="19"/>
      <c r="D311" s="19"/>
      <c r="E311" s="19"/>
      <c r="F311" s="19"/>
    </row>
    <row r="312" spans="1:6" ht="15.75" customHeight="1" x14ac:dyDescent="0.3">
      <c r="A312" s="19"/>
      <c r="B312" s="19"/>
      <c r="C312" s="19"/>
      <c r="D312" s="19"/>
      <c r="E312" s="19"/>
      <c r="F312" s="19"/>
    </row>
    <row r="313" spans="1:6" ht="15.75" customHeight="1" x14ac:dyDescent="0.3">
      <c r="A313" s="19"/>
      <c r="B313" s="19"/>
      <c r="C313" s="19"/>
      <c r="D313" s="19"/>
      <c r="E313" s="19"/>
      <c r="F313" s="19"/>
    </row>
    <row r="314" spans="1:6" ht="15.75" customHeight="1" x14ac:dyDescent="0.3">
      <c r="A314" s="19"/>
      <c r="B314" s="19"/>
      <c r="C314" s="19"/>
      <c r="D314" s="19"/>
      <c r="E314" s="19"/>
      <c r="F314" s="19"/>
    </row>
    <row r="315" spans="1:6" ht="15.75" customHeight="1" x14ac:dyDescent="0.3">
      <c r="A315" s="19"/>
      <c r="B315" s="19"/>
      <c r="C315" s="19"/>
      <c r="D315" s="19"/>
      <c r="E315" s="19"/>
      <c r="F315" s="19"/>
    </row>
    <row r="316" spans="1:6" ht="15.75" customHeight="1" x14ac:dyDescent="0.3">
      <c r="A316" s="19"/>
      <c r="B316" s="19"/>
      <c r="C316" s="19"/>
      <c r="D316" s="19"/>
      <c r="E316" s="19"/>
      <c r="F316" s="19"/>
    </row>
    <row r="317" spans="1:6" ht="15.75" customHeight="1" x14ac:dyDescent="0.3">
      <c r="A317" s="19"/>
      <c r="B317" s="19"/>
      <c r="C317" s="19"/>
      <c r="D317" s="19"/>
      <c r="E317" s="19"/>
      <c r="F317" s="19"/>
    </row>
    <row r="318" spans="1:6" ht="15.75" customHeight="1" x14ac:dyDescent="0.3">
      <c r="A318" s="19"/>
      <c r="B318" s="19"/>
      <c r="C318" s="19"/>
      <c r="D318" s="19"/>
      <c r="E318" s="19"/>
      <c r="F318" s="19"/>
    </row>
    <row r="319" spans="1:6" ht="15.75" customHeight="1" x14ac:dyDescent="0.3">
      <c r="A319" s="19"/>
      <c r="B319" s="19"/>
      <c r="C319" s="19"/>
      <c r="D319" s="19"/>
      <c r="E319" s="19"/>
      <c r="F319" s="19"/>
    </row>
    <row r="320" spans="1:6" ht="15.75" customHeight="1" x14ac:dyDescent="0.3">
      <c r="A320" s="19"/>
      <c r="B320" s="19"/>
      <c r="C320" s="19"/>
      <c r="D320" s="19"/>
      <c r="E320" s="19"/>
      <c r="F320" s="19"/>
    </row>
    <row r="321" spans="1:6" ht="15.75" customHeight="1" x14ac:dyDescent="0.3">
      <c r="A321" s="19"/>
      <c r="B321" s="19"/>
      <c r="C321" s="19"/>
      <c r="D321" s="19"/>
      <c r="E321" s="19"/>
      <c r="F321" s="19"/>
    </row>
    <row r="322" spans="1:6" ht="15.75" customHeight="1" x14ac:dyDescent="0.3">
      <c r="A322" s="19"/>
      <c r="B322" s="19"/>
      <c r="C322" s="19"/>
      <c r="D322" s="19"/>
      <c r="E322" s="19"/>
      <c r="F322" s="19"/>
    </row>
    <row r="323" spans="1:6" ht="15.75" customHeight="1" x14ac:dyDescent="0.3">
      <c r="A323" s="19"/>
      <c r="B323" s="19"/>
      <c r="C323" s="19"/>
      <c r="D323" s="19"/>
      <c r="E323" s="19"/>
      <c r="F323" s="19"/>
    </row>
    <row r="324" spans="1:6" ht="15.75" customHeight="1" x14ac:dyDescent="0.3">
      <c r="A324" s="19"/>
      <c r="B324" s="19"/>
      <c r="C324" s="19"/>
      <c r="D324" s="19"/>
      <c r="E324" s="19"/>
      <c r="F324" s="19"/>
    </row>
    <row r="325" spans="1:6" ht="15.75" customHeight="1" x14ac:dyDescent="0.3">
      <c r="A325" s="19"/>
      <c r="B325" s="19"/>
      <c r="C325" s="19"/>
      <c r="D325" s="19"/>
      <c r="E325" s="19"/>
      <c r="F325" s="19"/>
    </row>
    <row r="326" spans="1:6" ht="15.75" customHeight="1" x14ac:dyDescent="0.3">
      <c r="A326" s="19"/>
      <c r="B326" s="19"/>
      <c r="C326" s="19"/>
      <c r="D326" s="19"/>
      <c r="E326" s="19"/>
      <c r="F326" s="19"/>
    </row>
    <row r="327" spans="1:6" ht="15.75" customHeight="1" x14ac:dyDescent="0.3">
      <c r="A327" s="19"/>
      <c r="B327" s="19"/>
      <c r="C327" s="19"/>
      <c r="D327" s="19"/>
      <c r="E327" s="19"/>
      <c r="F327" s="19"/>
    </row>
    <row r="328" spans="1:6" ht="15.75" customHeight="1" x14ac:dyDescent="0.3">
      <c r="A328" s="19"/>
      <c r="B328" s="19"/>
      <c r="C328" s="19"/>
      <c r="D328" s="19"/>
      <c r="E328" s="19"/>
      <c r="F328" s="19"/>
    </row>
    <row r="329" spans="1:6" ht="15.75" customHeight="1" x14ac:dyDescent="0.3">
      <c r="A329" s="19"/>
      <c r="B329" s="19"/>
      <c r="C329" s="19"/>
      <c r="D329" s="19"/>
      <c r="E329" s="19"/>
      <c r="F329" s="19"/>
    </row>
    <row r="330" spans="1:6" ht="15.75" customHeight="1" x14ac:dyDescent="0.3">
      <c r="A330" s="19"/>
      <c r="B330" s="19"/>
      <c r="C330" s="19"/>
      <c r="D330" s="19"/>
      <c r="E330" s="19"/>
      <c r="F330" s="19"/>
    </row>
    <row r="331" spans="1:6" ht="15.75" customHeight="1" x14ac:dyDescent="0.3">
      <c r="A331" s="19"/>
      <c r="B331" s="19"/>
      <c r="C331" s="19"/>
      <c r="D331" s="19"/>
      <c r="E331" s="19"/>
      <c r="F331" s="19"/>
    </row>
    <row r="332" spans="1:6" ht="15.75" customHeight="1" x14ac:dyDescent="0.3">
      <c r="A332" s="19"/>
      <c r="B332" s="19"/>
      <c r="C332" s="19"/>
      <c r="D332" s="19"/>
      <c r="E332" s="19"/>
      <c r="F332" s="19"/>
    </row>
    <row r="333" spans="1:6" ht="15.75" customHeight="1" x14ac:dyDescent="0.3">
      <c r="A333" s="19"/>
      <c r="B333" s="19"/>
      <c r="C333" s="19"/>
      <c r="D333" s="19"/>
      <c r="E333" s="19"/>
      <c r="F333" s="19"/>
    </row>
    <row r="334" spans="1:6" ht="15.75" customHeight="1" x14ac:dyDescent="0.3">
      <c r="A334" s="19"/>
      <c r="B334" s="19"/>
      <c r="C334" s="19"/>
      <c r="D334" s="19"/>
      <c r="E334" s="19"/>
      <c r="F334" s="19"/>
    </row>
    <row r="335" spans="1:6" ht="15.75" customHeight="1" x14ac:dyDescent="0.3">
      <c r="A335" s="19"/>
      <c r="B335" s="19"/>
      <c r="C335" s="19"/>
      <c r="D335" s="19"/>
      <c r="E335" s="19"/>
      <c r="F335" s="19"/>
    </row>
    <row r="336" spans="1:6" ht="15.75" customHeight="1" x14ac:dyDescent="0.3">
      <c r="A336" s="19"/>
      <c r="B336" s="19"/>
      <c r="C336" s="19"/>
      <c r="D336" s="19"/>
      <c r="E336" s="19"/>
      <c r="F336" s="19"/>
    </row>
    <row r="337" spans="1:6" ht="15.75" customHeight="1" x14ac:dyDescent="0.3">
      <c r="A337" s="19"/>
      <c r="B337" s="19"/>
      <c r="C337" s="19"/>
      <c r="D337" s="19"/>
      <c r="E337" s="19"/>
      <c r="F337" s="19"/>
    </row>
    <row r="338" spans="1:6" ht="15.75" customHeight="1" x14ac:dyDescent="0.3">
      <c r="A338" s="19"/>
      <c r="B338" s="19"/>
      <c r="C338" s="19"/>
      <c r="D338" s="19"/>
      <c r="E338" s="19"/>
      <c r="F338" s="19"/>
    </row>
    <row r="339" spans="1:6" ht="15.75" customHeight="1" x14ac:dyDescent="0.3">
      <c r="A339" s="19"/>
      <c r="B339" s="19"/>
      <c r="C339" s="19"/>
      <c r="D339" s="19"/>
      <c r="E339" s="19"/>
      <c r="F339" s="19"/>
    </row>
    <row r="340" spans="1:6" ht="15.75" customHeight="1" x14ac:dyDescent="0.3">
      <c r="A340" s="19"/>
      <c r="B340" s="19"/>
      <c r="C340" s="19"/>
      <c r="D340" s="19"/>
      <c r="E340" s="19"/>
      <c r="F340" s="19"/>
    </row>
    <row r="341" spans="1:6" ht="15.75" customHeight="1" x14ac:dyDescent="0.3">
      <c r="A341" s="19"/>
      <c r="B341" s="19"/>
      <c r="C341" s="19"/>
      <c r="D341" s="19"/>
      <c r="E341" s="19"/>
      <c r="F341" s="19"/>
    </row>
    <row r="342" spans="1:6" ht="15.75" customHeight="1" x14ac:dyDescent="0.3">
      <c r="A342" s="19"/>
      <c r="B342" s="19"/>
      <c r="C342" s="19"/>
      <c r="D342" s="19"/>
      <c r="E342" s="19"/>
      <c r="F342" s="19"/>
    </row>
    <row r="343" spans="1:6" ht="15.75" customHeight="1" x14ac:dyDescent="0.3">
      <c r="A343" s="19"/>
      <c r="B343" s="19"/>
      <c r="C343" s="19"/>
      <c r="D343" s="19"/>
      <c r="E343" s="19"/>
      <c r="F343" s="19"/>
    </row>
    <row r="344" spans="1:6" ht="15.75" customHeight="1" x14ac:dyDescent="0.3">
      <c r="A344" s="19"/>
      <c r="B344" s="19"/>
      <c r="C344" s="19"/>
      <c r="D344" s="19"/>
      <c r="E344" s="19"/>
      <c r="F344" s="19"/>
    </row>
    <row r="345" spans="1:6" ht="15.75" customHeight="1" x14ac:dyDescent="0.3">
      <c r="A345" s="19"/>
      <c r="B345" s="19"/>
      <c r="C345" s="19"/>
      <c r="D345" s="19"/>
      <c r="E345" s="19"/>
      <c r="F345" s="19"/>
    </row>
    <row r="346" spans="1:6" ht="15.75" customHeight="1" x14ac:dyDescent="0.3">
      <c r="A346" s="19"/>
      <c r="B346" s="19"/>
      <c r="C346" s="19"/>
      <c r="D346" s="19"/>
      <c r="E346" s="19"/>
      <c r="F346" s="19"/>
    </row>
    <row r="347" spans="1:6" ht="15.75" customHeight="1" x14ac:dyDescent="0.3">
      <c r="A347" s="19"/>
      <c r="B347" s="19"/>
      <c r="C347" s="19"/>
      <c r="D347" s="19"/>
      <c r="E347" s="19"/>
      <c r="F347" s="19"/>
    </row>
    <row r="348" spans="1:6" ht="15.75" customHeight="1" x14ac:dyDescent="0.3">
      <c r="A348" s="19"/>
      <c r="B348" s="19"/>
      <c r="C348" s="19"/>
      <c r="D348" s="19"/>
      <c r="E348" s="19"/>
      <c r="F348" s="19"/>
    </row>
    <row r="349" spans="1:6" ht="15.75" customHeight="1" x14ac:dyDescent="0.3">
      <c r="A349" s="19"/>
      <c r="B349" s="19"/>
      <c r="C349" s="19"/>
      <c r="D349" s="19"/>
      <c r="E349" s="19"/>
      <c r="F349" s="19"/>
    </row>
    <row r="350" spans="1:6" ht="15.75" customHeight="1" x14ac:dyDescent="0.3">
      <c r="A350" s="19"/>
      <c r="B350" s="19"/>
      <c r="C350" s="19"/>
      <c r="D350" s="19"/>
      <c r="E350" s="19"/>
      <c r="F350" s="19"/>
    </row>
    <row r="351" spans="1:6" ht="15.75" customHeight="1" x14ac:dyDescent="0.3">
      <c r="A351" s="19"/>
      <c r="B351" s="19"/>
      <c r="C351" s="19"/>
      <c r="D351" s="19"/>
      <c r="E351" s="19"/>
      <c r="F351" s="19"/>
    </row>
    <row r="352" spans="1:6" ht="15.75" customHeight="1" x14ac:dyDescent="0.3">
      <c r="A352" s="19"/>
      <c r="B352" s="19"/>
      <c r="C352" s="19"/>
      <c r="D352" s="19"/>
      <c r="E352" s="19"/>
      <c r="F352" s="19"/>
    </row>
    <row r="353" spans="1:6" ht="15.75" customHeight="1" x14ac:dyDescent="0.3">
      <c r="A353" s="19"/>
      <c r="B353" s="19"/>
      <c r="C353" s="19"/>
      <c r="D353" s="19"/>
      <c r="E353" s="19"/>
      <c r="F353" s="19"/>
    </row>
    <row r="354" spans="1:6" ht="15.75" customHeight="1" x14ac:dyDescent="0.3">
      <c r="A354" s="19"/>
      <c r="B354" s="19"/>
      <c r="C354" s="19"/>
      <c r="D354" s="19"/>
      <c r="E354" s="19"/>
      <c r="F354" s="19"/>
    </row>
    <row r="355" spans="1:6" ht="15.75" customHeight="1" x14ac:dyDescent="0.3">
      <c r="A355" s="19"/>
      <c r="B355" s="19"/>
      <c r="C355" s="19"/>
      <c r="D355" s="19"/>
      <c r="E355" s="19"/>
      <c r="F355" s="19"/>
    </row>
    <row r="356" spans="1:6" ht="15.75" customHeight="1" x14ac:dyDescent="0.3">
      <c r="A356" s="19"/>
      <c r="B356" s="19"/>
      <c r="C356" s="19"/>
      <c r="D356" s="19"/>
      <c r="E356" s="19"/>
      <c r="F356" s="19"/>
    </row>
    <row r="357" spans="1:6" ht="15.75" customHeight="1" x14ac:dyDescent="0.3">
      <c r="A357" s="19"/>
      <c r="B357" s="19"/>
      <c r="C357" s="19"/>
      <c r="D357" s="19"/>
      <c r="E357" s="19"/>
      <c r="F357" s="19"/>
    </row>
    <row r="358" spans="1:6" ht="15.75" customHeight="1" x14ac:dyDescent="0.3">
      <c r="A358" s="19"/>
      <c r="B358" s="19"/>
      <c r="C358" s="19"/>
      <c r="D358" s="19"/>
      <c r="E358" s="19"/>
      <c r="F358" s="19"/>
    </row>
    <row r="359" spans="1:6" ht="15.75" customHeight="1" x14ac:dyDescent="0.3">
      <c r="A359" s="19"/>
      <c r="B359" s="19"/>
      <c r="C359" s="19"/>
      <c r="D359" s="19"/>
      <c r="E359" s="19"/>
      <c r="F359" s="19"/>
    </row>
    <row r="360" spans="1:6" ht="15.75" customHeight="1" x14ac:dyDescent="0.3">
      <c r="A360" s="19"/>
      <c r="B360" s="19"/>
      <c r="C360" s="19"/>
      <c r="D360" s="19"/>
      <c r="E360" s="19"/>
      <c r="F360" s="19"/>
    </row>
    <row r="361" spans="1:6" ht="15.75" customHeight="1" x14ac:dyDescent="0.3">
      <c r="A361" s="19"/>
      <c r="B361" s="19"/>
      <c r="C361" s="19"/>
      <c r="D361" s="19"/>
      <c r="E361" s="19"/>
      <c r="F361" s="19"/>
    </row>
    <row r="362" spans="1:6" ht="15.75" customHeight="1" x14ac:dyDescent="0.3">
      <c r="A362" s="19"/>
      <c r="B362" s="19"/>
      <c r="C362" s="19"/>
      <c r="D362" s="19"/>
      <c r="E362" s="19"/>
      <c r="F362" s="19"/>
    </row>
    <row r="363" spans="1:6" ht="15.75" customHeight="1" x14ac:dyDescent="0.3">
      <c r="A363" s="19"/>
      <c r="B363" s="19"/>
      <c r="C363" s="19"/>
      <c r="D363" s="19"/>
      <c r="E363" s="19"/>
      <c r="F363" s="19"/>
    </row>
    <row r="364" spans="1:6" ht="15.75" customHeight="1" x14ac:dyDescent="0.3">
      <c r="A364" s="19"/>
      <c r="B364" s="19"/>
      <c r="C364" s="19"/>
      <c r="D364" s="19"/>
      <c r="E364" s="19"/>
      <c r="F364" s="19"/>
    </row>
    <row r="365" spans="1:6" ht="15.75" customHeight="1" x14ac:dyDescent="0.3">
      <c r="A365" s="19"/>
      <c r="B365" s="19"/>
      <c r="C365" s="19"/>
      <c r="D365" s="19"/>
      <c r="E365" s="19"/>
      <c r="F365" s="19"/>
    </row>
    <row r="366" spans="1:6" ht="15.75" customHeight="1" x14ac:dyDescent="0.3">
      <c r="A366" s="19"/>
      <c r="B366" s="19"/>
      <c r="C366" s="19"/>
      <c r="D366" s="19"/>
      <c r="E366" s="19"/>
      <c r="F366" s="19"/>
    </row>
    <row r="367" spans="1:6" ht="15.75" customHeight="1" x14ac:dyDescent="0.3">
      <c r="A367" s="19"/>
      <c r="B367" s="19"/>
      <c r="C367" s="19"/>
      <c r="D367" s="19"/>
      <c r="E367" s="19"/>
      <c r="F367" s="19"/>
    </row>
    <row r="368" spans="1:6" ht="15.75" customHeight="1" x14ac:dyDescent="0.3">
      <c r="A368" s="19"/>
      <c r="B368" s="19"/>
      <c r="C368" s="19"/>
      <c r="D368" s="19"/>
      <c r="E368" s="19"/>
      <c r="F368" s="19"/>
    </row>
    <row r="369" spans="1:6" ht="15.75" customHeight="1" x14ac:dyDescent="0.3">
      <c r="A369" s="19"/>
      <c r="B369" s="19"/>
      <c r="C369" s="19"/>
      <c r="D369" s="19"/>
      <c r="E369" s="19"/>
      <c r="F369" s="19"/>
    </row>
    <row r="370" spans="1:6" ht="15.75" customHeight="1" x14ac:dyDescent="0.3">
      <c r="A370" s="19"/>
      <c r="B370" s="19"/>
      <c r="C370" s="19"/>
      <c r="D370" s="19"/>
      <c r="E370" s="19"/>
      <c r="F370" s="19"/>
    </row>
    <row r="371" spans="1:6" ht="15.75" customHeight="1" x14ac:dyDescent="0.3">
      <c r="A371" s="19"/>
      <c r="B371" s="19"/>
      <c r="C371" s="19"/>
      <c r="D371" s="19"/>
      <c r="E371" s="19"/>
      <c r="F371" s="19"/>
    </row>
    <row r="372" spans="1:6" ht="15.75" customHeight="1" x14ac:dyDescent="0.3">
      <c r="A372" s="19"/>
      <c r="B372" s="19"/>
      <c r="C372" s="19"/>
      <c r="D372" s="19"/>
      <c r="E372" s="19"/>
      <c r="F372" s="19"/>
    </row>
    <row r="373" spans="1:6" ht="15.75" customHeight="1" x14ac:dyDescent="0.3">
      <c r="A373" s="19"/>
      <c r="B373" s="19"/>
      <c r="C373" s="19"/>
      <c r="D373" s="19"/>
      <c r="E373" s="19"/>
      <c r="F373" s="19"/>
    </row>
    <row r="374" spans="1:6" ht="15.75" customHeight="1" x14ac:dyDescent="0.3">
      <c r="A374" s="19"/>
      <c r="B374" s="19"/>
      <c r="C374" s="19"/>
      <c r="D374" s="19"/>
      <c r="E374" s="19"/>
      <c r="F374" s="19"/>
    </row>
    <row r="375" spans="1:6" ht="15.75" customHeight="1" x14ac:dyDescent="0.3">
      <c r="A375" s="19"/>
      <c r="B375" s="19"/>
      <c r="C375" s="19"/>
      <c r="D375" s="19"/>
      <c r="E375" s="19"/>
      <c r="F375" s="19"/>
    </row>
    <row r="376" spans="1:6" ht="15.75" customHeight="1" x14ac:dyDescent="0.3">
      <c r="A376" s="19"/>
      <c r="B376" s="19"/>
      <c r="C376" s="19"/>
      <c r="D376" s="19"/>
      <c r="E376" s="19"/>
      <c r="F376" s="19"/>
    </row>
    <row r="377" spans="1:6" ht="15.75" customHeight="1" x14ac:dyDescent="0.3">
      <c r="A377" s="19"/>
      <c r="B377" s="19"/>
      <c r="C377" s="19"/>
      <c r="D377" s="19"/>
      <c r="E377" s="19"/>
      <c r="F377" s="19"/>
    </row>
    <row r="378" spans="1:6" ht="15.75" customHeight="1" x14ac:dyDescent="0.3">
      <c r="A378" s="19"/>
      <c r="B378" s="19"/>
      <c r="C378" s="19"/>
      <c r="D378" s="19"/>
      <c r="E378" s="19"/>
      <c r="F378" s="19"/>
    </row>
    <row r="379" spans="1:6" ht="15.75" customHeight="1" x14ac:dyDescent="0.3">
      <c r="A379" s="19"/>
      <c r="B379" s="19"/>
      <c r="C379" s="19"/>
      <c r="D379" s="19"/>
      <c r="E379" s="19"/>
      <c r="F379" s="19"/>
    </row>
    <row r="380" spans="1:6" ht="15.75" customHeight="1" x14ac:dyDescent="0.3">
      <c r="A380" s="19"/>
      <c r="B380" s="19"/>
      <c r="C380" s="19"/>
      <c r="D380" s="19"/>
      <c r="E380" s="19"/>
      <c r="F380" s="19"/>
    </row>
    <row r="381" spans="1:6" ht="15.75" customHeight="1" x14ac:dyDescent="0.3">
      <c r="A381" s="19"/>
      <c r="B381" s="19"/>
      <c r="C381" s="19"/>
      <c r="D381" s="19"/>
      <c r="E381" s="19"/>
      <c r="F381" s="19"/>
    </row>
    <row r="382" spans="1:6" ht="15.75" customHeight="1" x14ac:dyDescent="0.3">
      <c r="A382" s="19"/>
      <c r="B382" s="19"/>
      <c r="C382" s="19"/>
      <c r="D382" s="19"/>
      <c r="E382" s="19"/>
      <c r="F382" s="19"/>
    </row>
    <row r="383" spans="1:6" ht="15.75" customHeight="1" x14ac:dyDescent="0.3">
      <c r="A383" s="19"/>
      <c r="B383" s="19"/>
      <c r="C383" s="19"/>
      <c r="D383" s="19"/>
      <c r="E383" s="19"/>
      <c r="F383" s="19"/>
    </row>
    <row r="384" spans="1:6" ht="15.75" customHeight="1" x14ac:dyDescent="0.3">
      <c r="A384" s="19"/>
      <c r="B384" s="19"/>
      <c r="C384" s="19"/>
      <c r="D384" s="19"/>
      <c r="E384" s="19"/>
      <c r="F384" s="19"/>
    </row>
    <row r="385" spans="1:6" ht="15.75" customHeight="1" x14ac:dyDescent="0.3">
      <c r="A385" s="19"/>
      <c r="B385" s="19"/>
      <c r="C385" s="19"/>
      <c r="D385" s="19"/>
      <c r="E385" s="19"/>
      <c r="F385" s="19"/>
    </row>
    <row r="386" spans="1:6" ht="15.75" customHeight="1" x14ac:dyDescent="0.3">
      <c r="A386" s="19"/>
      <c r="B386" s="19"/>
      <c r="C386" s="19"/>
      <c r="D386" s="19"/>
      <c r="E386" s="19"/>
      <c r="F386" s="19"/>
    </row>
    <row r="387" spans="1:6" ht="15.75" customHeight="1" x14ac:dyDescent="0.3">
      <c r="A387" s="19"/>
      <c r="B387" s="19"/>
      <c r="C387" s="19"/>
      <c r="D387" s="19"/>
      <c r="E387" s="19"/>
      <c r="F387" s="19"/>
    </row>
    <row r="388" spans="1:6" ht="15.75" customHeight="1" x14ac:dyDescent="0.3">
      <c r="A388" s="19"/>
      <c r="B388" s="19"/>
      <c r="C388" s="19"/>
      <c r="D388" s="19"/>
      <c r="E388" s="19"/>
      <c r="F388" s="19"/>
    </row>
    <row r="389" spans="1:6" ht="15.75" customHeight="1" x14ac:dyDescent="0.3">
      <c r="A389" s="19"/>
      <c r="B389" s="19"/>
      <c r="C389" s="19"/>
      <c r="D389" s="19"/>
      <c r="E389" s="19"/>
      <c r="F389" s="19"/>
    </row>
    <row r="390" spans="1:6" ht="15.75" customHeight="1" x14ac:dyDescent="0.3">
      <c r="A390" s="19"/>
      <c r="B390" s="19"/>
      <c r="C390" s="19"/>
      <c r="D390" s="19"/>
      <c r="E390" s="19"/>
      <c r="F390" s="19"/>
    </row>
    <row r="391" spans="1:6" ht="15.75" customHeight="1" x14ac:dyDescent="0.3">
      <c r="A391" s="19"/>
      <c r="B391" s="19"/>
      <c r="C391" s="19"/>
      <c r="D391" s="19"/>
      <c r="E391" s="19"/>
      <c r="F391" s="19"/>
    </row>
    <row r="392" spans="1:6" ht="15.75" customHeight="1" x14ac:dyDescent="0.3">
      <c r="A392" s="19"/>
      <c r="B392" s="19"/>
      <c r="C392" s="19"/>
      <c r="D392" s="19"/>
      <c r="E392" s="19"/>
      <c r="F392" s="19"/>
    </row>
    <row r="393" spans="1:6" ht="15.75" customHeight="1" x14ac:dyDescent="0.3">
      <c r="A393" s="19"/>
      <c r="B393" s="19"/>
      <c r="C393" s="19"/>
      <c r="D393" s="19"/>
      <c r="E393" s="19"/>
      <c r="F393" s="19"/>
    </row>
    <row r="394" spans="1:6" ht="15.75" customHeight="1" x14ac:dyDescent="0.3">
      <c r="A394" s="19"/>
      <c r="B394" s="19"/>
      <c r="C394" s="19"/>
      <c r="D394" s="19"/>
      <c r="E394" s="19"/>
      <c r="F394" s="19"/>
    </row>
    <row r="395" spans="1:6" ht="15.75" customHeight="1" x14ac:dyDescent="0.3">
      <c r="A395" s="19"/>
      <c r="B395" s="19"/>
      <c r="C395" s="19"/>
      <c r="D395" s="19"/>
      <c r="E395" s="19"/>
      <c r="F395" s="19"/>
    </row>
    <row r="396" spans="1:6" ht="15.75" customHeight="1" x14ac:dyDescent="0.3">
      <c r="A396" s="19"/>
      <c r="B396" s="19"/>
      <c r="C396" s="19"/>
      <c r="D396" s="19"/>
      <c r="E396" s="19"/>
      <c r="F396" s="19"/>
    </row>
    <row r="397" spans="1:6" ht="15.75" customHeight="1" x14ac:dyDescent="0.3">
      <c r="A397" s="19"/>
      <c r="B397" s="19"/>
      <c r="C397" s="19"/>
      <c r="D397" s="19"/>
      <c r="E397" s="19"/>
      <c r="F397" s="19"/>
    </row>
    <row r="398" spans="1:6" ht="15.75" customHeight="1" x14ac:dyDescent="0.3">
      <c r="A398" s="19"/>
      <c r="B398" s="19"/>
      <c r="C398" s="19"/>
      <c r="D398" s="19"/>
      <c r="E398" s="19"/>
      <c r="F398" s="19"/>
    </row>
    <row r="399" spans="1:6" ht="15.75" customHeight="1" x14ac:dyDescent="0.3">
      <c r="A399" s="19"/>
      <c r="B399" s="19"/>
      <c r="C399" s="19"/>
      <c r="D399" s="19"/>
      <c r="E399" s="19"/>
      <c r="F399" s="19"/>
    </row>
    <row r="400" spans="1:6" ht="15.75" customHeight="1" x14ac:dyDescent="0.3">
      <c r="A400" s="19"/>
      <c r="B400" s="19"/>
      <c r="C400" s="19"/>
      <c r="D400" s="19"/>
      <c r="E400" s="19"/>
      <c r="F400" s="19"/>
    </row>
    <row r="401" spans="1:6" ht="15.75" customHeight="1" x14ac:dyDescent="0.3">
      <c r="A401" s="19"/>
      <c r="B401" s="19"/>
      <c r="C401" s="19"/>
      <c r="D401" s="19"/>
      <c r="E401" s="19"/>
      <c r="F401" s="19"/>
    </row>
    <row r="402" spans="1:6" ht="15.75" customHeight="1" x14ac:dyDescent="0.3">
      <c r="A402" s="19"/>
      <c r="B402" s="19"/>
      <c r="C402" s="19"/>
      <c r="D402" s="19"/>
      <c r="E402" s="19"/>
      <c r="F402" s="19"/>
    </row>
    <row r="403" spans="1:6" ht="15.75" customHeight="1" x14ac:dyDescent="0.3">
      <c r="A403" s="19"/>
      <c r="B403" s="19"/>
      <c r="C403" s="19"/>
      <c r="D403" s="19"/>
      <c r="E403" s="19"/>
      <c r="F403" s="19"/>
    </row>
    <row r="404" spans="1:6" ht="15.75" customHeight="1" x14ac:dyDescent="0.3">
      <c r="A404" s="19"/>
      <c r="B404" s="19"/>
      <c r="C404" s="19"/>
      <c r="D404" s="19"/>
      <c r="E404" s="19"/>
      <c r="F404" s="19"/>
    </row>
    <row r="405" spans="1:6" ht="15.75" customHeight="1" x14ac:dyDescent="0.3">
      <c r="A405" s="19"/>
      <c r="B405" s="19"/>
      <c r="C405" s="19"/>
      <c r="D405" s="19"/>
      <c r="E405" s="19"/>
      <c r="F405" s="19"/>
    </row>
    <row r="406" spans="1:6" ht="15.75" customHeight="1" x14ac:dyDescent="0.3">
      <c r="A406" s="19"/>
      <c r="B406" s="19"/>
      <c r="C406" s="19"/>
      <c r="D406" s="19"/>
      <c r="E406" s="19"/>
      <c r="F406" s="19"/>
    </row>
    <row r="407" spans="1:6" ht="15.75" customHeight="1" x14ac:dyDescent="0.3">
      <c r="A407" s="19"/>
      <c r="B407" s="19"/>
      <c r="C407" s="19"/>
      <c r="D407" s="19"/>
      <c r="E407" s="19"/>
      <c r="F407" s="19"/>
    </row>
    <row r="408" spans="1:6" ht="15.75" customHeight="1" x14ac:dyDescent="0.3">
      <c r="A408" s="19"/>
      <c r="B408" s="19"/>
      <c r="C408" s="19"/>
      <c r="D408" s="19"/>
      <c r="E408" s="19"/>
      <c r="F408" s="19"/>
    </row>
    <row r="409" spans="1:6" ht="15.75" customHeight="1" x14ac:dyDescent="0.3">
      <c r="A409" s="19"/>
      <c r="B409" s="19"/>
      <c r="C409" s="19"/>
      <c r="D409" s="19"/>
      <c r="E409" s="19"/>
      <c r="F409" s="19"/>
    </row>
    <row r="410" spans="1:6" ht="15.75" customHeight="1" x14ac:dyDescent="0.3">
      <c r="A410" s="19"/>
      <c r="B410" s="19"/>
      <c r="C410" s="19"/>
      <c r="D410" s="19"/>
      <c r="E410" s="19"/>
      <c r="F410" s="19"/>
    </row>
    <row r="411" spans="1:6" ht="15.75" customHeight="1" x14ac:dyDescent="0.3">
      <c r="A411" s="19"/>
      <c r="B411" s="19"/>
      <c r="C411" s="19"/>
      <c r="D411" s="19"/>
      <c r="E411" s="19"/>
      <c r="F411" s="19"/>
    </row>
    <row r="412" spans="1:6" ht="15.75" customHeight="1" x14ac:dyDescent="0.3">
      <c r="A412" s="19"/>
      <c r="B412" s="19"/>
      <c r="C412" s="19"/>
      <c r="D412" s="19"/>
      <c r="E412" s="19"/>
      <c r="F412" s="19"/>
    </row>
    <row r="413" spans="1:6" ht="15.75" customHeight="1" x14ac:dyDescent="0.3">
      <c r="A413" s="19"/>
      <c r="B413" s="19"/>
      <c r="C413" s="19"/>
      <c r="D413" s="19"/>
      <c r="E413" s="19"/>
      <c r="F413" s="19"/>
    </row>
    <row r="414" spans="1:6" ht="15.75" customHeight="1" x14ac:dyDescent="0.3">
      <c r="A414" s="19"/>
      <c r="B414" s="19"/>
      <c r="C414" s="19"/>
      <c r="D414" s="19"/>
      <c r="E414" s="19"/>
      <c r="F414" s="19"/>
    </row>
    <row r="415" spans="1:6" ht="15.75" customHeight="1" x14ac:dyDescent="0.3">
      <c r="A415" s="19"/>
      <c r="B415" s="19"/>
      <c r="C415" s="19"/>
      <c r="D415" s="19"/>
      <c r="E415" s="19"/>
      <c r="F415" s="19"/>
    </row>
    <row r="416" spans="1:6" ht="15.75" customHeight="1" x14ac:dyDescent="0.3">
      <c r="A416" s="19"/>
      <c r="B416" s="19"/>
      <c r="C416" s="19"/>
      <c r="D416" s="19"/>
      <c r="E416" s="19"/>
      <c r="F416" s="19"/>
    </row>
    <row r="417" spans="1:6" ht="15.75" customHeight="1" x14ac:dyDescent="0.3">
      <c r="A417" s="19"/>
      <c r="B417" s="19"/>
      <c r="C417" s="19"/>
      <c r="D417" s="19"/>
      <c r="E417" s="19"/>
      <c r="F417" s="19"/>
    </row>
    <row r="418" spans="1:6" ht="15.75" customHeight="1" x14ac:dyDescent="0.3">
      <c r="A418" s="19"/>
      <c r="B418" s="19"/>
      <c r="C418" s="19"/>
      <c r="D418" s="19"/>
      <c r="E418" s="19"/>
      <c r="F418" s="19"/>
    </row>
    <row r="419" spans="1:6" ht="15.75" customHeight="1" x14ac:dyDescent="0.3">
      <c r="A419" s="19"/>
      <c r="B419" s="19"/>
      <c r="C419" s="19"/>
      <c r="D419" s="19"/>
      <c r="E419" s="19"/>
      <c r="F419" s="19"/>
    </row>
    <row r="420" spans="1:6" ht="15.75" customHeight="1" x14ac:dyDescent="0.3">
      <c r="A420" s="19"/>
      <c r="B420" s="19"/>
      <c r="C420" s="19"/>
      <c r="D420" s="19"/>
      <c r="E420" s="19"/>
      <c r="F420" s="19"/>
    </row>
    <row r="421" spans="1:6" ht="15.75" customHeight="1" x14ac:dyDescent="0.3">
      <c r="A421" s="19"/>
      <c r="B421" s="19"/>
      <c r="C421" s="19"/>
      <c r="D421" s="19"/>
      <c r="E421" s="19"/>
      <c r="F421" s="19"/>
    </row>
    <row r="422" spans="1:6" ht="15.75" customHeight="1" x14ac:dyDescent="0.3">
      <c r="A422" s="19"/>
      <c r="B422" s="19"/>
      <c r="C422" s="19"/>
      <c r="D422" s="19"/>
      <c r="E422" s="19"/>
      <c r="F422" s="19"/>
    </row>
    <row r="423" spans="1:6" ht="15.75" customHeight="1" x14ac:dyDescent="0.3">
      <c r="A423" s="19"/>
      <c r="B423" s="19"/>
      <c r="C423" s="19"/>
      <c r="D423" s="19"/>
      <c r="E423" s="19"/>
      <c r="F423" s="19"/>
    </row>
    <row r="424" spans="1:6" ht="15.75" customHeight="1" x14ac:dyDescent="0.3">
      <c r="A424" s="19"/>
      <c r="B424" s="19"/>
      <c r="C424" s="19"/>
      <c r="D424" s="19"/>
      <c r="E424" s="19"/>
      <c r="F424" s="19"/>
    </row>
    <row r="425" spans="1:6" ht="15.75" customHeight="1" x14ac:dyDescent="0.3">
      <c r="A425" s="19"/>
      <c r="B425" s="19"/>
      <c r="C425" s="19"/>
      <c r="D425" s="19"/>
      <c r="E425" s="19"/>
      <c r="F425" s="19"/>
    </row>
    <row r="426" spans="1:6" ht="15.75" customHeight="1" x14ac:dyDescent="0.3">
      <c r="A426" s="19"/>
      <c r="B426" s="19"/>
      <c r="C426" s="19"/>
      <c r="D426" s="19"/>
      <c r="E426" s="19"/>
      <c r="F426" s="19"/>
    </row>
    <row r="427" spans="1:6" ht="15.75" customHeight="1" x14ac:dyDescent="0.3">
      <c r="A427" s="19"/>
      <c r="B427" s="19"/>
      <c r="C427" s="19"/>
      <c r="D427" s="19"/>
      <c r="E427" s="19"/>
      <c r="F427" s="19"/>
    </row>
    <row r="428" spans="1:6" ht="15.75" customHeight="1" x14ac:dyDescent="0.3">
      <c r="A428" s="19"/>
      <c r="B428" s="19"/>
      <c r="C428" s="19"/>
      <c r="D428" s="19"/>
      <c r="E428" s="19"/>
      <c r="F428" s="19"/>
    </row>
    <row r="429" spans="1:6" ht="15.75" customHeight="1" x14ac:dyDescent="0.3">
      <c r="A429" s="19"/>
      <c r="B429" s="19"/>
      <c r="C429" s="19"/>
      <c r="D429" s="19"/>
      <c r="E429" s="19"/>
      <c r="F429" s="19"/>
    </row>
    <row r="430" spans="1:6" ht="15.75" customHeight="1" x14ac:dyDescent="0.3">
      <c r="A430" s="19"/>
      <c r="B430" s="19"/>
      <c r="C430" s="19"/>
      <c r="D430" s="19"/>
      <c r="E430" s="19"/>
      <c r="F430" s="19"/>
    </row>
    <row r="431" spans="1:6" ht="15.75" customHeight="1" x14ac:dyDescent="0.3">
      <c r="A431" s="19"/>
      <c r="B431" s="19"/>
      <c r="C431" s="19"/>
      <c r="D431" s="19"/>
      <c r="E431" s="19"/>
      <c r="F431" s="19"/>
    </row>
    <row r="432" spans="1:6" ht="15.75" customHeight="1" x14ac:dyDescent="0.3">
      <c r="A432" s="19"/>
      <c r="B432" s="19"/>
      <c r="C432" s="19"/>
      <c r="D432" s="19"/>
      <c r="E432" s="19"/>
      <c r="F432" s="19"/>
    </row>
    <row r="433" spans="1:6" ht="15.75" customHeight="1" x14ac:dyDescent="0.3">
      <c r="A433" s="19"/>
      <c r="B433" s="19"/>
      <c r="C433" s="19"/>
      <c r="D433" s="19"/>
      <c r="E433" s="19"/>
      <c r="F433" s="19"/>
    </row>
    <row r="434" spans="1:6" ht="15.75" customHeight="1" x14ac:dyDescent="0.3">
      <c r="A434" s="19"/>
      <c r="B434" s="19"/>
      <c r="C434" s="19"/>
      <c r="D434" s="19"/>
      <c r="E434" s="19"/>
      <c r="F434" s="19"/>
    </row>
    <row r="435" spans="1:6" ht="15.75" customHeight="1" x14ac:dyDescent="0.3">
      <c r="A435" s="19"/>
      <c r="B435" s="19"/>
      <c r="C435" s="19"/>
      <c r="D435" s="19"/>
      <c r="E435" s="19"/>
      <c r="F435" s="19"/>
    </row>
    <row r="436" spans="1:6" ht="15.75" customHeight="1" x14ac:dyDescent="0.3">
      <c r="A436" s="19"/>
      <c r="B436" s="19"/>
      <c r="C436" s="19"/>
      <c r="D436" s="19"/>
      <c r="E436" s="19"/>
      <c r="F436" s="19"/>
    </row>
    <row r="437" spans="1:6" ht="15.75" customHeight="1" x14ac:dyDescent="0.3">
      <c r="A437" s="19"/>
      <c r="B437" s="19"/>
      <c r="C437" s="19"/>
      <c r="D437" s="19"/>
      <c r="E437" s="19"/>
      <c r="F437" s="19"/>
    </row>
    <row r="438" spans="1:6" ht="15.75" customHeight="1" x14ac:dyDescent="0.3">
      <c r="A438" s="19"/>
      <c r="B438" s="19"/>
      <c r="C438" s="19"/>
      <c r="D438" s="19"/>
      <c r="E438" s="19"/>
      <c r="F438" s="19"/>
    </row>
    <row r="439" spans="1:6" ht="15.75" customHeight="1" x14ac:dyDescent="0.3">
      <c r="A439" s="19"/>
      <c r="B439" s="19"/>
      <c r="C439" s="19"/>
      <c r="D439" s="19"/>
      <c r="E439" s="19"/>
      <c r="F439" s="19"/>
    </row>
    <row r="440" spans="1:6" ht="15.75" customHeight="1" x14ac:dyDescent="0.3">
      <c r="A440" s="19"/>
      <c r="B440" s="19"/>
      <c r="C440" s="19"/>
      <c r="D440" s="19"/>
      <c r="E440" s="19"/>
      <c r="F440" s="19"/>
    </row>
    <row r="441" spans="1:6" ht="15.75" customHeight="1" x14ac:dyDescent="0.3">
      <c r="A441" s="19"/>
      <c r="B441" s="19"/>
      <c r="C441" s="19"/>
      <c r="D441" s="19"/>
      <c r="E441" s="19"/>
      <c r="F441" s="19"/>
    </row>
    <row r="442" spans="1:6" ht="15.75" customHeight="1" x14ac:dyDescent="0.3">
      <c r="A442" s="19"/>
      <c r="B442" s="19"/>
      <c r="C442" s="19"/>
      <c r="D442" s="19"/>
      <c r="E442" s="19"/>
      <c r="F442" s="19"/>
    </row>
    <row r="443" spans="1:6" ht="15.75" customHeight="1" x14ac:dyDescent="0.3">
      <c r="A443" s="19"/>
      <c r="B443" s="19"/>
      <c r="C443" s="19"/>
      <c r="D443" s="19"/>
      <c r="E443" s="19"/>
      <c r="F443" s="19"/>
    </row>
    <row r="444" spans="1:6" ht="15.75" customHeight="1" x14ac:dyDescent="0.3">
      <c r="A444" s="19"/>
      <c r="B444" s="19"/>
      <c r="C444" s="19"/>
      <c r="D444" s="19"/>
      <c r="E444" s="19"/>
      <c r="F444" s="19"/>
    </row>
    <row r="445" spans="1:6" ht="15.75" customHeight="1" x14ac:dyDescent="0.3">
      <c r="A445" s="19"/>
      <c r="B445" s="19"/>
      <c r="C445" s="19"/>
      <c r="D445" s="19"/>
      <c r="E445" s="19"/>
      <c r="F445" s="19"/>
    </row>
    <row r="446" spans="1:6" ht="15.75" customHeight="1" x14ac:dyDescent="0.3">
      <c r="A446" s="19"/>
      <c r="B446" s="19"/>
      <c r="C446" s="19"/>
      <c r="D446" s="19"/>
      <c r="E446" s="19"/>
      <c r="F446" s="19"/>
    </row>
    <row r="447" spans="1:6" ht="15.75" customHeight="1" x14ac:dyDescent="0.3">
      <c r="A447" s="19"/>
      <c r="B447" s="19"/>
      <c r="C447" s="19"/>
      <c r="D447" s="19"/>
      <c r="E447" s="19"/>
      <c r="F447" s="19"/>
    </row>
    <row r="448" spans="1:6" ht="15.75" customHeight="1" x14ac:dyDescent="0.3">
      <c r="A448" s="19"/>
      <c r="B448" s="19"/>
      <c r="C448" s="19"/>
      <c r="D448" s="19"/>
      <c r="E448" s="19"/>
      <c r="F448" s="19"/>
    </row>
    <row r="449" spans="1:6" ht="15.75" customHeight="1" x14ac:dyDescent="0.3">
      <c r="A449" s="19"/>
      <c r="B449" s="19"/>
      <c r="C449" s="19"/>
      <c r="D449" s="19"/>
      <c r="E449" s="19"/>
      <c r="F449" s="19"/>
    </row>
    <row r="450" spans="1:6" ht="15.75" customHeight="1" x14ac:dyDescent="0.3">
      <c r="A450" s="19"/>
      <c r="B450" s="19"/>
      <c r="C450" s="19"/>
      <c r="D450" s="19"/>
      <c r="E450" s="19"/>
      <c r="F450" s="19"/>
    </row>
    <row r="451" spans="1:6" ht="15.75" customHeight="1" x14ac:dyDescent="0.3">
      <c r="A451" s="19"/>
      <c r="B451" s="19"/>
      <c r="C451" s="19"/>
      <c r="D451" s="19"/>
      <c r="E451" s="19"/>
      <c r="F451" s="19"/>
    </row>
    <row r="452" spans="1:6" ht="15.75" customHeight="1" x14ac:dyDescent="0.3">
      <c r="A452" s="19"/>
      <c r="B452" s="19"/>
      <c r="C452" s="19"/>
      <c r="D452" s="19"/>
      <c r="E452" s="19"/>
      <c r="F452" s="19"/>
    </row>
    <row r="453" spans="1:6" ht="15.75" customHeight="1" x14ac:dyDescent="0.3">
      <c r="A453" s="19"/>
      <c r="B453" s="19"/>
      <c r="C453" s="19"/>
      <c r="D453" s="19"/>
      <c r="E453" s="19"/>
      <c r="F453" s="19"/>
    </row>
    <row r="454" spans="1:6" ht="15.75" customHeight="1" x14ac:dyDescent="0.3">
      <c r="A454" s="19"/>
      <c r="B454" s="19"/>
      <c r="C454" s="19"/>
      <c r="D454" s="19"/>
      <c r="E454" s="19"/>
      <c r="F454" s="19"/>
    </row>
    <row r="455" spans="1:6" ht="15.75" customHeight="1" x14ac:dyDescent="0.3">
      <c r="A455" s="19"/>
      <c r="B455" s="19"/>
      <c r="C455" s="19"/>
      <c r="D455" s="19"/>
      <c r="E455" s="19"/>
      <c r="F455" s="19"/>
    </row>
    <row r="456" spans="1:6" ht="15.75" customHeight="1" x14ac:dyDescent="0.3">
      <c r="A456" s="19"/>
      <c r="B456" s="19"/>
      <c r="C456" s="19"/>
      <c r="D456" s="19"/>
      <c r="E456" s="19"/>
      <c r="F456" s="19"/>
    </row>
    <row r="457" spans="1:6" ht="15.75" customHeight="1" x14ac:dyDescent="0.3">
      <c r="A457" s="19"/>
      <c r="B457" s="19"/>
      <c r="C457" s="19"/>
      <c r="D457" s="19"/>
      <c r="E457" s="19"/>
      <c r="F457" s="19"/>
    </row>
    <row r="458" spans="1:6" ht="15.75" customHeight="1" x14ac:dyDescent="0.3">
      <c r="A458" s="19"/>
      <c r="B458" s="19"/>
      <c r="C458" s="19"/>
      <c r="D458" s="19"/>
      <c r="E458" s="19"/>
      <c r="F458" s="19"/>
    </row>
    <row r="459" spans="1:6" ht="15.75" customHeight="1" x14ac:dyDescent="0.3">
      <c r="A459" s="19"/>
      <c r="B459" s="19"/>
      <c r="C459" s="19"/>
      <c r="D459" s="19"/>
      <c r="E459" s="19"/>
      <c r="F459" s="19"/>
    </row>
    <row r="460" spans="1:6" ht="15.75" customHeight="1" x14ac:dyDescent="0.3">
      <c r="A460" s="19"/>
      <c r="B460" s="19"/>
      <c r="C460" s="19"/>
      <c r="D460" s="19"/>
      <c r="E460" s="19"/>
      <c r="F460" s="19"/>
    </row>
    <row r="461" spans="1:6" ht="15.75" customHeight="1" x14ac:dyDescent="0.3">
      <c r="A461" s="19"/>
      <c r="B461" s="19"/>
      <c r="C461" s="19"/>
      <c r="D461" s="19"/>
      <c r="E461" s="19"/>
      <c r="F461" s="19"/>
    </row>
    <row r="462" spans="1:6" ht="15.75" customHeight="1" x14ac:dyDescent="0.3">
      <c r="A462" s="19"/>
      <c r="B462" s="19"/>
      <c r="C462" s="19"/>
      <c r="D462" s="19"/>
      <c r="E462" s="19"/>
      <c r="F462" s="19"/>
    </row>
    <row r="463" spans="1:6" ht="15.75" customHeight="1" x14ac:dyDescent="0.3">
      <c r="A463" s="19"/>
      <c r="B463" s="19"/>
      <c r="C463" s="19"/>
      <c r="D463" s="19"/>
      <c r="E463" s="19"/>
      <c r="F463" s="19"/>
    </row>
    <row r="464" spans="1:6" ht="15.75" customHeight="1" x14ac:dyDescent="0.3">
      <c r="A464" s="19"/>
      <c r="B464" s="19"/>
      <c r="C464" s="19"/>
      <c r="D464" s="19"/>
      <c r="E464" s="19"/>
      <c r="F464" s="19"/>
    </row>
    <row r="465" spans="1:6" ht="15.75" customHeight="1" x14ac:dyDescent="0.3">
      <c r="A465" s="19"/>
      <c r="B465" s="19"/>
      <c r="C465" s="19"/>
      <c r="D465" s="19"/>
      <c r="E465" s="19"/>
      <c r="F465" s="19"/>
    </row>
    <row r="466" spans="1:6" ht="15.75" customHeight="1" x14ac:dyDescent="0.3">
      <c r="A466" s="19"/>
      <c r="B466" s="19"/>
      <c r="C466" s="19"/>
      <c r="D466" s="19"/>
      <c r="E466" s="19"/>
      <c r="F466" s="19"/>
    </row>
    <row r="467" spans="1:6" ht="15.75" customHeight="1" x14ac:dyDescent="0.3">
      <c r="A467" s="19"/>
      <c r="B467" s="19"/>
      <c r="C467" s="19"/>
      <c r="D467" s="19"/>
      <c r="E467" s="19"/>
      <c r="F467" s="19"/>
    </row>
    <row r="468" spans="1:6" ht="15.75" customHeight="1" x14ac:dyDescent="0.3">
      <c r="A468" s="19"/>
      <c r="B468" s="19"/>
      <c r="C468" s="19"/>
      <c r="D468" s="19"/>
      <c r="E468" s="19"/>
      <c r="F468" s="19"/>
    </row>
    <row r="469" spans="1:6" ht="15.75" customHeight="1" x14ac:dyDescent="0.3">
      <c r="A469" s="19"/>
      <c r="B469" s="19"/>
      <c r="C469" s="19"/>
      <c r="D469" s="19"/>
      <c r="E469" s="19"/>
      <c r="F469" s="19"/>
    </row>
    <row r="470" spans="1:6" ht="15.75" customHeight="1" x14ac:dyDescent="0.3">
      <c r="A470" s="19"/>
      <c r="B470" s="19"/>
      <c r="C470" s="19"/>
      <c r="D470" s="19"/>
      <c r="E470" s="19"/>
      <c r="F470" s="19"/>
    </row>
    <row r="471" spans="1:6" ht="15.75" customHeight="1" x14ac:dyDescent="0.3">
      <c r="A471" s="19"/>
      <c r="B471" s="19"/>
      <c r="C471" s="19"/>
      <c r="D471" s="19"/>
      <c r="E471" s="19"/>
      <c r="F471" s="19"/>
    </row>
    <row r="472" spans="1:6" ht="15.75" customHeight="1" x14ac:dyDescent="0.3">
      <c r="A472" s="19"/>
      <c r="B472" s="19"/>
      <c r="C472" s="19"/>
      <c r="D472" s="19"/>
      <c r="E472" s="19"/>
      <c r="F472" s="19"/>
    </row>
    <row r="473" spans="1:6" ht="15.75" customHeight="1" x14ac:dyDescent="0.3">
      <c r="A473" s="19"/>
      <c r="B473" s="19"/>
      <c r="C473" s="19"/>
      <c r="D473" s="19"/>
      <c r="E473" s="19"/>
      <c r="F473" s="19"/>
    </row>
    <row r="474" spans="1:6" ht="15.75" customHeight="1" x14ac:dyDescent="0.3">
      <c r="A474" s="19"/>
      <c r="B474" s="19"/>
      <c r="C474" s="19"/>
      <c r="D474" s="19"/>
      <c r="E474" s="19"/>
      <c r="F474" s="19"/>
    </row>
    <row r="475" spans="1:6" ht="15.75" customHeight="1" x14ac:dyDescent="0.3">
      <c r="A475" s="19"/>
      <c r="B475" s="19"/>
      <c r="C475" s="19"/>
      <c r="D475" s="19"/>
      <c r="E475" s="19"/>
      <c r="F475" s="19"/>
    </row>
    <row r="476" spans="1:6" ht="15.75" customHeight="1" x14ac:dyDescent="0.3">
      <c r="A476" s="19"/>
      <c r="B476" s="19"/>
      <c r="C476" s="19"/>
      <c r="D476" s="19"/>
      <c r="E476" s="19"/>
      <c r="F476" s="19"/>
    </row>
    <row r="477" spans="1:6" ht="15.75" customHeight="1" x14ac:dyDescent="0.3">
      <c r="A477" s="19"/>
      <c r="B477" s="19"/>
      <c r="C477" s="19"/>
      <c r="D477" s="19"/>
      <c r="E477" s="19"/>
      <c r="F477" s="19"/>
    </row>
    <row r="478" spans="1:6" ht="15.75" customHeight="1" x14ac:dyDescent="0.3">
      <c r="A478" s="19"/>
      <c r="B478" s="19"/>
      <c r="C478" s="19"/>
      <c r="D478" s="19"/>
      <c r="E478" s="19"/>
      <c r="F478" s="19"/>
    </row>
    <row r="479" spans="1:6" ht="15.75" customHeight="1" x14ac:dyDescent="0.3">
      <c r="A479" s="19"/>
      <c r="B479" s="19"/>
      <c r="C479" s="19"/>
      <c r="D479" s="19"/>
      <c r="E479" s="19"/>
      <c r="F479" s="19"/>
    </row>
    <row r="480" spans="1:6" ht="15.75" customHeight="1" x14ac:dyDescent="0.3">
      <c r="A480" s="19"/>
      <c r="B480" s="19"/>
      <c r="C480" s="19"/>
      <c r="D480" s="19"/>
      <c r="E480" s="19"/>
      <c r="F480" s="19"/>
    </row>
    <row r="481" spans="1:6" ht="15.75" customHeight="1" x14ac:dyDescent="0.3">
      <c r="A481" s="19"/>
      <c r="B481" s="19"/>
      <c r="C481" s="19"/>
      <c r="D481" s="19"/>
      <c r="E481" s="19"/>
      <c r="F481" s="19"/>
    </row>
    <row r="482" spans="1:6" ht="15.75" customHeight="1" x14ac:dyDescent="0.3">
      <c r="A482" s="19"/>
      <c r="B482" s="19"/>
      <c r="C482" s="19"/>
      <c r="D482" s="19"/>
      <c r="E482" s="19"/>
      <c r="F482" s="19"/>
    </row>
    <row r="483" spans="1:6" ht="15.75" customHeight="1" x14ac:dyDescent="0.3">
      <c r="A483" s="19"/>
      <c r="B483" s="19"/>
      <c r="C483" s="19"/>
      <c r="D483" s="19"/>
      <c r="E483" s="19"/>
      <c r="F483" s="19"/>
    </row>
    <row r="484" spans="1:6" ht="15.75" customHeight="1" x14ac:dyDescent="0.3">
      <c r="A484" s="19"/>
      <c r="B484" s="19"/>
      <c r="C484" s="19"/>
      <c r="D484" s="19"/>
      <c r="E484" s="19"/>
      <c r="F484" s="19"/>
    </row>
    <row r="485" spans="1:6" ht="15.75" customHeight="1" x14ac:dyDescent="0.3">
      <c r="A485" s="19"/>
      <c r="B485" s="19"/>
      <c r="C485" s="19"/>
      <c r="D485" s="19"/>
      <c r="E485" s="19"/>
      <c r="F485" s="19"/>
    </row>
    <row r="486" spans="1:6" ht="15.75" customHeight="1" x14ac:dyDescent="0.3">
      <c r="A486" s="19"/>
      <c r="B486" s="19"/>
      <c r="C486" s="19"/>
      <c r="D486" s="19"/>
      <c r="E486" s="19"/>
      <c r="F486" s="19"/>
    </row>
    <row r="487" spans="1:6" ht="15.75" customHeight="1" x14ac:dyDescent="0.3">
      <c r="A487" s="19"/>
      <c r="B487" s="19"/>
      <c r="C487" s="19"/>
      <c r="D487" s="19"/>
      <c r="E487" s="19"/>
      <c r="F487" s="19"/>
    </row>
    <row r="488" spans="1:6" ht="15.75" customHeight="1" x14ac:dyDescent="0.3">
      <c r="A488" s="19"/>
      <c r="B488" s="19"/>
      <c r="C488" s="19"/>
      <c r="D488" s="19"/>
      <c r="E488" s="19"/>
      <c r="F488" s="19"/>
    </row>
    <row r="489" spans="1:6" ht="15.75" customHeight="1" x14ac:dyDescent="0.3">
      <c r="A489" s="19"/>
      <c r="B489" s="19"/>
      <c r="C489" s="19"/>
      <c r="D489" s="19"/>
      <c r="E489" s="19"/>
      <c r="F489" s="19"/>
    </row>
    <row r="490" spans="1:6" ht="15.75" customHeight="1" x14ac:dyDescent="0.3">
      <c r="A490" s="19"/>
      <c r="B490" s="19"/>
      <c r="C490" s="19"/>
      <c r="D490" s="19"/>
      <c r="E490" s="19"/>
      <c r="F490" s="19"/>
    </row>
    <row r="491" spans="1:6" ht="15.75" customHeight="1" x14ac:dyDescent="0.3">
      <c r="A491" s="19"/>
      <c r="B491" s="19"/>
      <c r="C491" s="19"/>
      <c r="D491" s="19"/>
      <c r="E491" s="19"/>
      <c r="F491" s="19"/>
    </row>
    <row r="492" spans="1:6" ht="15.75" customHeight="1" x14ac:dyDescent="0.3">
      <c r="A492" s="19"/>
      <c r="B492" s="19"/>
      <c r="C492" s="19"/>
      <c r="D492" s="19"/>
      <c r="E492" s="19"/>
      <c r="F492" s="19"/>
    </row>
    <row r="493" spans="1:6" ht="15.75" customHeight="1" x14ac:dyDescent="0.3">
      <c r="A493" s="19"/>
      <c r="B493" s="19"/>
      <c r="C493" s="19"/>
      <c r="D493" s="19"/>
      <c r="E493" s="19"/>
      <c r="F493" s="19"/>
    </row>
    <row r="494" spans="1:6" ht="15.75" customHeight="1" x14ac:dyDescent="0.3">
      <c r="A494" s="19"/>
      <c r="B494" s="19"/>
      <c r="C494" s="19"/>
      <c r="D494" s="19"/>
      <c r="E494" s="19"/>
      <c r="F494" s="19"/>
    </row>
    <row r="495" spans="1:6" ht="15.75" customHeight="1" x14ac:dyDescent="0.3">
      <c r="A495" s="19"/>
      <c r="B495" s="19"/>
      <c r="C495" s="19"/>
      <c r="D495" s="19"/>
      <c r="E495" s="19"/>
      <c r="F495" s="19"/>
    </row>
    <row r="496" spans="1:6" ht="15.75" customHeight="1" x14ac:dyDescent="0.3">
      <c r="A496" s="19"/>
      <c r="B496" s="19"/>
      <c r="C496" s="19"/>
      <c r="D496" s="19"/>
      <c r="E496" s="19"/>
      <c r="F496" s="19"/>
    </row>
    <row r="497" spans="1:6" ht="15.75" customHeight="1" x14ac:dyDescent="0.3">
      <c r="A497" s="19"/>
      <c r="B497" s="19"/>
      <c r="C497" s="19"/>
      <c r="D497" s="19"/>
      <c r="E497" s="19"/>
      <c r="F497" s="19"/>
    </row>
    <row r="498" spans="1:6" ht="15.75" customHeight="1" x14ac:dyDescent="0.3">
      <c r="A498" s="19"/>
      <c r="B498" s="19"/>
      <c r="C498" s="19"/>
      <c r="D498" s="19"/>
      <c r="E498" s="19"/>
      <c r="F498" s="19"/>
    </row>
    <row r="499" spans="1:6" ht="15.75" customHeight="1" x14ac:dyDescent="0.3">
      <c r="A499" s="19"/>
      <c r="B499" s="19"/>
      <c r="C499" s="19"/>
      <c r="D499" s="19"/>
      <c r="E499" s="19"/>
      <c r="F499" s="19"/>
    </row>
    <row r="500" spans="1:6" ht="15.75" customHeight="1" x14ac:dyDescent="0.3">
      <c r="A500" s="19"/>
      <c r="B500" s="19"/>
      <c r="C500" s="19"/>
      <c r="D500" s="19"/>
      <c r="E500" s="19"/>
      <c r="F500" s="19"/>
    </row>
    <row r="501" spans="1:6" ht="15.75" customHeight="1" x14ac:dyDescent="0.3">
      <c r="A501" s="19"/>
      <c r="B501" s="19"/>
      <c r="C501" s="19"/>
      <c r="D501" s="19"/>
      <c r="E501" s="19"/>
      <c r="F501" s="19"/>
    </row>
    <row r="502" spans="1:6" ht="15.75" customHeight="1" x14ac:dyDescent="0.3">
      <c r="A502" s="19"/>
      <c r="B502" s="19"/>
      <c r="C502" s="19"/>
      <c r="D502" s="19"/>
      <c r="E502" s="19"/>
      <c r="F502" s="19"/>
    </row>
    <row r="503" spans="1:6" ht="15.75" customHeight="1" x14ac:dyDescent="0.3">
      <c r="A503" s="19"/>
      <c r="B503" s="19"/>
      <c r="C503" s="19"/>
      <c r="D503" s="19"/>
      <c r="E503" s="19"/>
      <c r="F503" s="19"/>
    </row>
    <row r="504" spans="1:6" ht="15.75" customHeight="1" x14ac:dyDescent="0.3">
      <c r="A504" s="19"/>
      <c r="B504" s="19"/>
      <c r="C504" s="19"/>
      <c r="D504" s="19"/>
      <c r="E504" s="19"/>
      <c r="F504" s="19"/>
    </row>
    <row r="505" spans="1:6" ht="15.75" customHeight="1" x14ac:dyDescent="0.3">
      <c r="A505" s="19"/>
      <c r="B505" s="19"/>
      <c r="C505" s="19"/>
      <c r="D505" s="19"/>
      <c r="E505" s="19"/>
      <c r="F505" s="19"/>
    </row>
    <row r="506" spans="1:6" ht="15.75" customHeight="1" x14ac:dyDescent="0.3">
      <c r="A506" s="19"/>
      <c r="B506" s="19"/>
      <c r="C506" s="19"/>
      <c r="D506" s="19"/>
      <c r="E506" s="19"/>
      <c r="F506" s="19"/>
    </row>
    <row r="507" spans="1:6" ht="15.75" customHeight="1" x14ac:dyDescent="0.3">
      <c r="A507" s="19"/>
      <c r="B507" s="19"/>
      <c r="C507" s="19"/>
      <c r="D507" s="19"/>
      <c r="E507" s="19"/>
      <c r="F507" s="19"/>
    </row>
    <row r="508" spans="1:6" ht="15.75" customHeight="1" x14ac:dyDescent="0.3">
      <c r="A508" s="19"/>
      <c r="B508" s="19"/>
      <c r="C508" s="19"/>
      <c r="D508" s="19"/>
      <c r="E508" s="19"/>
      <c r="F508" s="19"/>
    </row>
    <row r="509" spans="1:6" ht="15.75" customHeight="1" x14ac:dyDescent="0.3">
      <c r="A509" s="19"/>
      <c r="B509" s="19"/>
      <c r="C509" s="19"/>
      <c r="D509" s="19"/>
      <c r="E509" s="19"/>
      <c r="F509" s="19"/>
    </row>
    <row r="510" spans="1:6" ht="15.75" customHeight="1" x14ac:dyDescent="0.3">
      <c r="A510" s="19"/>
      <c r="B510" s="19"/>
      <c r="C510" s="19"/>
      <c r="D510" s="19"/>
      <c r="E510" s="19"/>
      <c r="F510" s="19"/>
    </row>
    <row r="511" spans="1:6" ht="15.75" customHeight="1" x14ac:dyDescent="0.3">
      <c r="A511" s="19"/>
      <c r="B511" s="19"/>
      <c r="C511" s="19"/>
      <c r="D511" s="19"/>
      <c r="E511" s="19"/>
      <c r="F511" s="19"/>
    </row>
    <row r="512" spans="1:6" ht="15.75" customHeight="1" x14ac:dyDescent="0.3">
      <c r="A512" s="19"/>
      <c r="B512" s="19"/>
      <c r="C512" s="19"/>
      <c r="D512" s="19"/>
      <c r="E512" s="19"/>
      <c r="F512" s="19"/>
    </row>
    <row r="513" spans="1:6" ht="15.75" customHeight="1" x14ac:dyDescent="0.3">
      <c r="A513" s="19"/>
      <c r="B513" s="19"/>
      <c r="C513" s="19"/>
      <c r="D513" s="19"/>
      <c r="E513" s="19"/>
      <c r="F513" s="19"/>
    </row>
    <row r="514" spans="1:6" ht="15.75" customHeight="1" x14ac:dyDescent="0.3">
      <c r="A514" s="19"/>
      <c r="B514" s="19"/>
      <c r="C514" s="19"/>
      <c r="D514" s="19"/>
      <c r="E514" s="19"/>
      <c r="F514" s="19"/>
    </row>
    <row r="515" spans="1:6" ht="15.75" customHeight="1" x14ac:dyDescent="0.3">
      <c r="A515" s="19"/>
      <c r="B515" s="19"/>
      <c r="C515" s="19"/>
      <c r="D515" s="19"/>
      <c r="E515" s="19"/>
      <c r="F515" s="19"/>
    </row>
    <row r="516" spans="1:6" ht="15.75" customHeight="1" x14ac:dyDescent="0.3">
      <c r="A516" s="19"/>
      <c r="B516" s="19"/>
      <c r="C516" s="19"/>
      <c r="D516" s="19"/>
      <c r="E516" s="19"/>
      <c r="F516" s="19"/>
    </row>
    <row r="517" spans="1:6" ht="15.75" customHeight="1" x14ac:dyDescent="0.3">
      <c r="A517" s="19"/>
      <c r="B517" s="19"/>
      <c r="C517" s="19"/>
      <c r="D517" s="19"/>
      <c r="E517" s="19"/>
      <c r="F517" s="19"/>
    </row>
    <row r="518" spans="1:6" ht="15.75" customHeight="1" x14ac:dyDescent="0.3">
      <c r="A518" s="19"/>
      <c r="B518" s="19"/>
      <c r="C518" s="19"/>
      <c r="D518" s="19"/>
      <c r="E518" s="19"/>
      <c r="F518" s="19"/>
    </row>
    <row r="519" spans="1:6" ht="15.75" customHeight="1" x14ac:dyDescent="0.3">
      <c r="A519" s="19"/>
      <c r="B519" s="19"/>
      <c r="C519" s="19"/>
      <c r="D519" s="19"/>
      <c r="E519" s="19"/>
      <c r="F519" s="19"/>
    </row>
    <row r="520" spans="1:6" ht="15.75" customHeight="1" x14ac:dyDescent="0.3">
      <c r="A520" s="19"/>
      <c r="B520" s="19"/>
      <c r="C520" s="19"/>
      <c r="D520" s="19"/>
      <c r="E520" s="19"/>
      <c r="F520" s="19"/>
    </row>
    <row r="521" spans="1:6" ht="15.75" customHeight="1" x14ac:dyDescent="0.3">
      <c r="A521" s="19"/>
      <c r="B521" s="19"/>
      <c r="C521" s="19"/>
      <c r="D521" s="19"/>
      <c r="E521" s="19"/>
      <c r="F521" s="19"/>
    </row>
    <row r="522" spans="1:6" ht="15.75" customHeight="1" x14ac:dyDescent="0.3">
      <c r="A522" s="19"/>
      <c r="B522" s="19"/>
      <c r="C522" s="19"/>
      <c r="D522" s="19"/>
      <c r="E522" s="19"/>
      <c r="F522" s="19"/>
    </row>
    <row r="523" spans="1:6" ht="15.75" customHeight="1" x14ac:dyDescent="0.3">
      <c r="A523" s="19"/>
      <c r="B523" s="19"/>
      <c r="C523" s="19"/>
      <c r="D523" s="19"/>
      <c r="E523" s="19"/>
      <c r="F523" s="19"/>
    </row>
    <row r="524" spans="1:6" ht="15.75" customHeight="1" x14ac:dyDescent="0.3">
      <c r="A524" s="19"/>
      <c r="B524" s="19"/>
      <c r="C524" s="19"/>
      <c r="D524" s="19"/>
      <c r="E524" s="19"/>
      <c r="F524" s="19"/>
    </row>
    <row r="525" spans="1:6" ht="15.75" customHeight="1" x14ac:dyDescent="0.3">
      <c r="A525" s="19"/>
      <c r="B525" s="19"/>
      <c r="C525" s="19"/>
      <c r="D525" s="19"/>
      <c r="E525" s="19"/>
      <c r="F525" s="19"/>
    </row>
    <row r="526" spans="1:6" ht="15.75" customHeight="1" x14ac:dyDescent="0.3">
      <c r="A526" s="19"/>
      <c r="B526" s="19"/>
      <c r="C526" s="19"/>
      <c r="D526" s="19"/>
      <c r="E526" s="19"/>
      <c r="F526" s="19"/>
    </row>
    <row r="527" spans="1:6" ht="15.75" customHeight="1" x14ac:dyDescent="0.3">
      <c r="A527" s="19"/>
      <c r="B527" s="19"/>
      <c r="C527" s="19"/>
      <c r="D527" s="19"/>
      <c r="E527" s="19"/>
      <c r="F527" s="19"/>
    </row>
    <row r="528" spans="1:6" ht="15.75" customHeight="1" x14ac:dyDescent="0.3">
      <c r="A528" s="19"/>
      <c r="B528" s="19"/>
      <c r="C528" s="19"/>
      <c r="D528" s="19"/>
      <c r="E528" s="19"/>
      <c r="F528" s="19"/>
    </row>
    <row r="529" spans="1:6" ht="15.75" customHeight="1" x14ac:dyDescent="0.3">
      <c r="A529" s="19"/>
      <c r="B529" s="19"/>
      <c r="C529" s="19"/>
      <c r="D529" s="19"/>
      <c r="E529" s="19"/>
      <c r="F529" s="19"/>
    </row>
    <row r="530" spans="1:6" ht="15.75" customHeight="1" x14ac:dyDescent="0.3">
      <c r="A530" s="19"/>
      <c r="B530" s="19"/>
      <c r="C530" s="19"/>
      <c r="D530" s="19"/>
      <c r="E530" s="19"/>
      <c r="F530" s="19"/>
    </row>
    <row r="531" spans="1:6" ht="15.75" customHeight="1" x14ac:dyDescent="0.3">
      <c r="A531" s="19"/>
      <c r="B531" s="19"/>
      <c r="C531" s="19"/>
      <c r="D531" s="19"/>
      <c r="E531" s="19"/>
      <c r="F531" s="19"/>
    </row>
    <row r="532" spans="1:6" ht="15.75" customHeight="1" x14ac:dyDescent="0.3">
      <c r="A532" s="19"/>
      <c r="B532" s="19"/>
      <c r="C532" s="19"/>
      <c r="D532" s="19"/>
      <c r="E532" s="19"/>
      <c r="F532" s="19"/>
    </row>
    <row r="533" spans="1:6" ht="15.75" customHeight="1" x14ac:dyDescent="0.3">
      <c r="A533" s="19"/>
      <c r="B533" s="19"/>
      <c r="C533" s="19"/>
      <c r="D533" s="19"/>
      <c r="E533" s="19"/>
      <c r="F533" s="19"/>
    </row>
    <row r="534" spans="1:6" ht="15.75" customHeight="1" x14ac:dyDescent="0.3">
      <c r="A534" s="19"/>
      <c r="B534" s="19"/>
      <c r="C534" s="19"/>
      <c r="D534" s="19"/>
      <c r="E534" s="19"/>
      <c r="F534" s="19"/>
    </row>
    <row r="535" spans="1:6" ht="15.75" customHeight="1" x14ac:dyDescent="0.3">
      <c r="A535" s="19"/>
      <c r="B535" s="19"/>
      <c r="C535" s="19"/>
      <c r="D535" s="19"/>
      <c r="E535" s="19"/>
      <c r="F535" s="19"/>
    </row>
    <row r="536" spans="1:6" ht="15.75" customHeight="1" x14ac:dyDescent="0.3">
      <c r="A536" s="19"/>
      <c r="B536" s="19"/>
      <c r="C536" s="19"/>
      <c r="D536" s="19"/>
      <c r="E536" s="19"/>
      <c r="F536" s="19"/>
    </row>
    <row r="537" spans="1:6" ht="15.75" customHeight="1" x14ac:dyDescent="0.3">
      <c r="A537" s="19"/>
      <c r="B537" s="19"/>
      <c r="C537" s="19"/>
      <c r="D537" s="19"/>
      <c r="E537" s="19"/>
      <c r="F537" s="19"/>
    </row>
    <row r="538" spans="1:6" ht="15.75" customHeight="1" x14ac:dyDescent="0.3">
      <c r="A538" s="19"/>
      <c r="B538" s="19"/>
      <c r="C538" s="19"/>
      <c r="D538" s="19"/>
      <c r="E538" s="19"/>
      <c r="F538" s="19"/>
    </row>
    <row r="539" spans="1:6" ht="15.75" customHeight="1" x14ac:dyDescent="0.3">
      <c r="A539" s="19"/>
      <c r="B539" s="19"/>
      <c r="C539" s="19"/>
      <c r="D539" s="19"/>
      <c r="E539" s="19"/>
      <c r="F539" s="19"/>
    </row>
    <row r="540" spans="1:6" ht="15.75" customHeight="1" x14ac:dyDescent="0.3">
      <c r="A540" s="19"/>
      <c r="B540" s="19"/>
      <c r="C540" s="19"/>
      <c r="D540" s="19"/>
      <c r="E540" s="19"/>
      <c r="F540" s="19"/>
    </row>
    <row r="541" spans="1:6" ht="15.75" customHeight="1" x14ac:dyDescent="0.3">
      <c r="A541" s="19"/>
      <c r="B541" s="19"/>
      <c r="C541" s="19"/>
      <c r="D541" s="19"/>
      <c r="E541" s="19"/>
      <c r="F541" s="19"/>
    </row>
    <row r="542" spans="1:6" ht="15.75" customHeight="1" x14ac:dyDescent="0.3">
      <c r="A542" s="19"/>
      <c r="B542" s="19"/>
      <c r="C542" s="19"/>
      <c r="D542" s="19"/>
      <c r="E542" s="19"/>
      <c r="F542" s="19"/>
    </row>
    <row r="543" spans="1:6" ht="15.75" customHeight="1" x14ac:dyDescent="0.3">
      <c r="A543" s="19"/>
      <c r="B543" s="19"/>
      <c r="C543" s="19"/>
      <c r="D543" s="19"/>
      <c r="E543" s="19"/>
      <c r="F543" s="19"/>
    </row>
    <row r="544" spans="1:6" ht="15.75" customHeight="1" x14ac:dyDescent="0.3">
      <c r="A544" s="19"/>
      <c r="B544" s="19"/>
      <c r="C544" s="19"/>
      <c r="D544" s="19"/>
      <c r="E544" s="19"/>
      <c r="F544" s="19"/>
    </row>
    <row r="545" spans="1:6" ht="15.75" customHeight="1" x14ac:dyDescent="0.3">
      <c r="A545" s="19"/>
      <c r="B545" s="19"/>
      <c r="C545" s="19"/>
      <c r="D545" s="19"/>
      <c r="E545" s="19"/>
      <c r="F545" s="19"/>
    </row>
    <row r="546" spans="1:6" ht="15.75" customHeight="1" x14ac:dyDescent="0.3">
      <c r="A546" s="19"/>
      <c r="B546" s="19"/>
      <c r="C546" s="19"/>
      <c r="D546" s="19"/>
      <c r="E546" s="19"/>
      <c r="F546" s="19"/>
    </row>
    <row r="547" spans="1:6" ht="15.75" customHeight="1" x14ac:dyDescent="0.3">
      <c r="A547" s="19"/>
      <c r="B547" s="19"/>
      <c r="C547" s="19"/>
      <c r="D547" s="19"/>
      <c r="E547" s="19"/>
      <c r="F547" s="19"/>
    </row>
    <row r="548" spans="1:6" ht="15.75" customHeight="1" x14ac:dyDescent="0.3">
      <c r="A548" s="19"/>
      <c r="B548" s="19"/>
      <c r="C548" s="19"/>
      <c r="D548" s="19"/>
      <c r="E548" s="19"/>
      <c r="F548" s="19"/>
    </row>
    <row r="549" spans="1:6" ht="15.75" customHeight="1" x14ac:dyDescent="0.3">
      <c r="A549" s="19"/>
      <c r="B549" s="19"/>
      <c r="C549" s="19"/>
      <c r="D549" s="19"/>
      <c r="E549" s="19"/>
      <c r="F549" s="19"/>
    </row>
    <row r="550" spans="1:6" ht="15.75" customHeight="1" x14ac:dyDescent="0.3">
      <c r="A550" s="19"/>
      <c r="B550" s="19"/>
      <c r="C550" s="19"/>
      <c r="D550" s="19"/>
      <c r="E550" s="19"/>
      <c r="F550" s="19"/>
    </row>
    <row r="551" spans="1:6" ht="15.75" customHeight="1" x14ac:dyDescent="0.3">
      <c r="A551" s="19"/>
      <c r="B551" s="19"/>
      <c r="C551" s="19"/>
      <c r="D551" s="19"/>
      <c r="E551" s="19"/>
      <c r="F551" s="19"/>
    </row>
    <row r="552" spans="1:6" ht="15.75" customHeight="1" x14ac:dyDescent="0.3">
      <c r="A552" s="19"/>
      <c r="B552" s="19"/>
      <c r="C552" s="19"/>
      <c r="D552" s="19"/>
      <c r="E552" s="19"/>
      <c r="F552" s="19"/>
    </row>
    <row r="553" spans="1:6" ht="15.75" customHeight="1" x14ac:dyDescent="0.3">
      <c r="A553" s="19"/>
      <c r="B553" s="19"/>
      <c r="C553" s="19"/>
      <c r="D553" s="19"/>
      <c r="E553" s="19"/>
      <c r="F553" s="19"/>
    </row>
    <row r="554" spans="1:6" ht="15.75" customHeight="1" x14ac:dyDescent="0.3">
      <c r="A554" s="19"/>
      <c r="B554" s="19"/>
      <c r="C554" s="19"/>
      <c r="D554" s="19"/>
      <c r="E554" s="19"/>
      <c r="F554" s="19"/>
    </row>
    <row r="555" spans="1:6" ht="15.75" customHeight="1" x14ac:dyDescent="0.3">
      <c r="A555" s="19"/>
      <c r="B555" s="19"/>
      <c r="C555" s="19"/>
      <c r="D555" s="19"/>
      <c r="E555" s="19"/>
      <c r="F555" s="19"/>
    </row>
    <row r="556" spans="1:6" ht="15.75" customHeight="1" x14ac:dyDescent="0.3">
      <c r="A556" s="19"/>
      <c r="B556" s="19"/>
      <c r="C556" s="19"/>
      <c r="D556" s="19"/>
      <c r="E556" s="19"/>
      <c r="F556" s="19"/>
    </row>
    <row r="557" spans="1:6" ht="15.75" customHeight="1" x14ac:dyDescent="0.3">
      <c r="A557" s="19"/>
      <c r="B557" s="19"/>
      <c r="C557" s="19"/>
      <c r="D557" s="19"/>
      <c r="E557" s="19"/>
      <c r="F557" s="19"/>
    </row>
    <row r="558" spans="1:6" ht="15.75" customHeight="1" x14ac:dyDescent="0.3">
      <c r="A558" s="19"/>
      <c r="B558" s="19"/>
      <c r="C558" s="19"/>
      <c r="D558" s="19"/>
      <c r="E558" s="19"/>
      <c r="F558" s="19"/>
    </row>
    <row r="559" spans="1:6" ht="15.75" customHeight="1" x14ac:dyDescent="0.3">
      <c r="A559" s="19"/>
      <c r="B559" s="19"/>
      <c r="C559" s="19"/>
      <c r="D559" s="19"/>
      <c r="E559" s="19"/>
      <c r="F559" s="19"/>
    </row>
    <row r="560" spans="1:6" ht="15.75" customHeight="1" x14ac:dyDescent="0.3">
      <c r="A560" s="19"/>
      <c r="B560" s="19"/>
      <c r="C560" s="19"/>
      <c r="D560" s="19"/>
      <c r="E560" s="19"/>
      <c r="F560" s="19"/>
    </row>
    <row r="561" spans="1:6" ht="15.75" customHeight="1" x14ac:dyDescent="0.3">
      <c r="A561" s="19"/>
      <c r="B561" s="19"/>
      <c r="C561" s="19"/>
      <c r="D561" s="19"/>
      <c r="E561" s="19"/>
      <c r="F561" s="19"/>
    </row>
    <row r="562" spans="1:6" ht="15.75" customHeight="1" x14ac:dyDescent="0.3">
      <c r="A562" s="19"/>
      <c r="B562" s="19"/>
      <c r="C562" s="19"/>
      <c r="D562" s="19"/>
      <c r="E562" s="19"/>
      <c r="F562" s="19"/>
    </row>
    <row r="563" spans="1:6" ht="15.75" customHeight="1" x14ac:dyDescent="0.3">
      <c r="A563" s="19"/>
      <c r="B563" s="19"/>
      <c r="C563" s="19"/>
      <c r="D563" s="19"/>
      <c r="E563" s="19"/>
      <c r="F563" s="19"/>
    </row>
    <row r="564" spans="1:6" ht="15.75" customHeight="1" x14ac:dyDescent="0.3">
      <c r="A564" s="19"/>
      <c r="B564" s="19"/>
      <c r="C564" s="19"/>
      <c r="D564" s="19"/>
      <c r="E564" s="19"/>
      <c r="F564" s="19"/>
    </row>
    <row r="565" spans="1:6" ht="15.75" customHeight="1" x14ac:dyDescent="0.3">
      <c r="A565" s="19"/>
      <c r="B565" s="19"/>
      <c r="C565" s="19"/>
      <c r="D565" s="19"/>
      <c r="E565" s="19"/>
      <c r="F565" s="19"/>
    </row>
    <row r="566" spans="1:6" ht="15.75" customHeight="1" x14ac:dyDescent="0.3">
      <c r="A566" s="19"/>
      <c r="B566" s="19"/>
      <c r="C566" s="19"/>
      <c r="D566" s="19"/>
      <c r="E566" s="19"/>
      <c r="F566" s="19"/>
    </row>
    <row r="567" spans="1:6" ht="15.75" customHeight="1" x14ac:dyDescent="0.3">
      <c r="A567" s="19"/>
      <c r="B567" s="19"/>
      <c r="C567" s="19"/>
      <c r="D567" s="19"/>
      <c r="E567" s="19"/>
      <c r="F567" s="19"/>
    </row>
    <row r="568" spans="1:6" ht="15.75" customHeight="1" x14ac:dyDescent="0.3">
      <c r="A568" s="19"/>
      <c r="B568" s="19"/>
      <c r="C568" s="19"/>
      <c r="D568" s="19"/>
      <c r="E568" s="19"/>
      <c r="F568" s="19"/>
    </row>
    <row r="569" spans="1:6" ht="15.75" customHeight="1" x14ac:dyDescent="0.3">
      <c r="A569" s="19"/>
      <c r="B569" s="19"/>
      <c r="C569" s="19"/>
      <c r="D569" s="19"/>
      <c r="E569" s="19"/>
      <c r="F569" s="19"/>
    </row>
    <row r="570" spans="1:6" ht="15.75" customHeight="1" x14ac:dyDescent="0.3">
      <c r="A570" s="19"/>
      <c r="B570" s="19"/>
      <c r="C570" s="19"/>
      <c r="D570" s="19"/>
      <c r="E570" s="19"/>
      <c r="F570" s="19"/>
    </row>
    <row r="571" spans="1:6" ht="15.75" customHeight="1" x14ac:dyDescent="0.3">
      <c r="A571" s="19"/>
      <c r="B571" s="19"/>
      <c r="C571" s="19"/>
      <c r="D571" s="19"/>
      <c r="E571" s="19"/>
      <c r="F571" s="19"/>
    </row>
    <row r="572" spans="1:6" ht="15.75" customHeight="1" x14ac:dyDescent="0.3">
      <c r="A572" s="19"/>
      <c r="B572" s="19"/>
      <c r="C572" s="19"/>
      <c r="D572" s="19"/>
      <c r="E572" s="19"/>
      <c r="F572" s="19"/>
    </row>
    <row r="573" spans="1:6" ht="15.75" customHeight="1" x14ac:dyDescent="0.3">
      <c r="A573" s="19"/>
      <c r="B573" s="19"/>
      <c r="C573" s="19"/>
      <c r="D573" s="19"/>
      <c r="E573" s="19"/>
      <c r="F573" s="19"/>
    </row>
    <row r="574" spans="1:6" ht="15.75" customHeight="1" x14ac:dyDescent="0.3">
      <c r="A574" s="19"/>
      <c r="B574" s="19"/>
      <c r="C574" s="19"/>
      <c r="D574" s="19"/>
      <c r="E574" s="19"/>
      <c r="F574" s="19"/>
    </row>
    <row r="575" spans="1:6" ht="15.75" customHeight="1" x14ac:dyDescent="0.3">
      <c r="A575" s="19"/>
      <c r="B575" s="19"/>
      <c r="C575" s="19"/>
      <c r="D575" s="19"/>
      <c r="E575" s="19"/>
      <c r="F575" s="19"/>
    </row>
    <row r="576" spans="1:6" ht="15.75" customHeight="1" x14ac:dyDescent="0.3">
      <c r="A576" s="19"/>
      <c r="B576" s="19"/>
      <c r="C576" s="19"/>
      <c r="D576" s="19"/>
      <c r="E576" s="19"/>
      <c r="F576" s="19"/>
    </row>
    <row r="577" spans="1:6" ht="15.75" customHeight="1" x14ac:dyDescent="0.3">
      <c r="A577" s="19"/>
      <c r="B577" s="19"/>
      <c r="C577" s="19"/>
      <c r="D577" s="19"/>
      <c r="E577" s="19"/>
      <c r="F577" s="19"/>
    </row>
    <row r="578" spans="1:6" ht="15.75" customHeight="1" x14ac:dyDescent="0.3">
      <c r="A578" s="19"/>
      <c r="B578" s="19"/>
      <c r="C578" s="19"/>
      <c r="D578" s="19"/>
      <c r="E578" s="19"/>
      <c r="F578" s="19"/>
    </row>
    <row r="579" spans="1:6" ht="15.75" customHeight="1" x14ac:dyDescent="0.3">
      <c r="A579" s="19"/>
      <c r="B579" s="19"/>
      <c r="C579" s="19"/>
      <c r="D579" s="19"/>
      <c r="E579" s="19"/>
      <c r="F579" s="19"/>
    </row>
    <row r="580" spans="1:6" ht="15.75" customHeight="1" x14ac:dyDescent="0.3">
      <c r="A580" s="19"/>
      <c r="B580" s="19"/>
      <c r="C580" s="19"/>
      <c r="D580" s="19"/>
      <c r="E580" s="19"/>
      <c r="F580" s="19"/>
    </row>
    <row r="581" spans="1:6" ht="15.75" customHeight="1" x14ac:dyDescent="0.3">
      <c r="A581" s="19"/>
      <c r="B581" s="19"/>
      <c r="C581" s="19"/>
      <c r="D581" s="19"/>
      <c r="E581" s="19"/>
      <c r="F581" s="19"/>
    </row>
    <row r="582" spans="1:6" ht="15.75" customHeight="1" x14ac:dyDescent="0.3">
      <c r="A582" s="19"/>
      <c r="B582" s="19"/>
      <c r="C582" s="19"/>
      <c r="D582" s="19"/>
      <c r="E582" s="19"/>
      <c r="F582" s="19"/>
    </row>
    <row r="583" spans="1:6" ht="15.75" customHeight="1" x14ac:dyDescent="0.3">
      <c r="A583" s="19"/>
      <c r="B583" s="19"/>
      <c r="C583" s="19"/>
      <c r="D583" s="19"/>
      <c r="E583" s="19"/>
      <c r="F583" s="19"/>
    </row>
    <row r="584" spans="1:6" ht="15.75" customHeight="1" x14ac:dyDescent="0.3">
      <c r="A584" s="19"/>
      <c r="B584" s="19"/>
      <c r="C584" s="19"/>
      <c r="D584" s="19"/>
      <c r="E584" s="19"/>
      <c r="F584" s="19"/>
    </row>
    <row r="585" spans="1:6" ht="15.75" customHeight="1" x14ac:dyDescent="0.3">
      <c r="A585" s="19"/>
      <c r="B585" s="19"/>
      <c r="C585" s="19"/>
      <c r="D585" s="19"/>
      <c r="E585" s="19"/>
      <c r="F585" s="19"/>
    </row>
    <row r="586" spans="1:6" ht="15.75" customHeight="1" x14ac:dyDescent="0.3">
      <c r="A586" s="19"/>
      <c r="B586" s="19"/>
      <c r="C586" s="19"/>
      <c r="D586" s="19"/>
      <c r="E586" s="19"/>
      <c r="F586" s="19"/>
    </row>
    <row r="587" spans="1:6" ht="15.75" customHeight="1" x14ac:dyDescent="0.3">
      <c r="A587" s="19"/>
      <c r="B587" s="19"/>
      <c r="C587" s="19"/>
      <c r="D587" s="19"/>
      <c r="E587" s="19"/>
      <c r="F587" s="19"/>
    </row>
    <row r="588" spans="1:6" ht="15.75" customHeight="1" x14ac:dyDescent="0.3">
      <c r="A588" s="19"/>
      <c r="B588" s="19"/>
      <c r="C588" s="19"/>
      <c r="D588" s="19"/>
      <c r="E588" s="19"/>
      <c r="F588" s="19"/>
    </row>
    <row r="589" spans="1:6" ht="15.75" customHeight="1" x14ac:dyDescent="0.3">
      <c r="A589" s="19"/>
      <c r="B589" s="19"/>
      <c r="C589" s="19"/>
      <c r="D589" s="19"/>
      <c r="E589" s="19"/>
      <c r="F589" s="19"/>
    </row>
    <row r="590" spans="1:6" ht="15.75" customHeight="1" x14ac:dyDescent="0.3">
      <c r="A590" s="19"/>
      <c r="B590" s="19"/>
      <c r="C590" s="19"/>
      <c r="D590" s="19"/>
      <c r="E590" s="19"/>
      <c r="F590" s="19"/>
    </row>
    <row r="591" spans="1:6" ht="15.75" customHeight="1" x14ac:dyDescent="0.3">
      <c r="A591" s="19"/>
      <c r="B591" s="19"/>
      <c r="C591" s="19"/>
      <c r="D591" s="19"/>
      <c r="E591" s="19"/>
      <c r="F591" s="19"/>
    </row>
    <row r="592" spans="1:6" ht="15.75" customHeight="1" x14ac:dyDescent="0.3">
      <c r="A592" s="19"/>
      <c r="B592" s="19"/>
      <c r="C592" s="19"/>
      <c r="D592" s="19"/>
      <c r="E592" s="19"/>
      <c r="F592" s="19"/>
    </row>
    <row r="593" spans="1:6" ht="15.75" customHeight="1" x14ac:dyDescent="0.3">
      <c r="A593" s="19"/>
      <c r="B593" s="19"/>
      <c r="C593" s="19"/>
      <c r="D593" s="19"/>
      <c r="E593" s="19"/>
      <c r="F593" s="19"/>
    </row>
    <row r="594" spans="1:6" ht="15.75" customHeight="1" x14ac:dyDescent="0.3">
      <c r="A594" s="19"/>
      <c r="B594" s="19"/>
      <c r="C594" s="19"/>
      <c r="D594" s="19"/>
      <c r="E594" s="19"/>
      <c r="F594" s="19"/>
    </row>
    <row r="595" spans="1:6" ht="15.75" customHeight="1" x14ac:dyDescent="0.3">
      <c r="A595" s="19"/>
      <c r="B595" s="19"/>
      <c r="C595" s="19"/>
      <c r="D595" s="19"/>
      <c r="E595" s="19"/>
      <c r="F595" s="19"/>
    </row>
    <row r="596" spans="1:6" ht="15.75" customHeight="1" x14ac:dyDescent="0.3">
      <c r="A596" s="19"/>
      <c r="B596" s="19"/>
      <c r="C596" s="19"/>
      <c r="D596" s="19"/>
      <c r="E596" s="19"/>
      <c r="F596" s="19"/>
    </row>
    <row r="597" spans="1:6" ht="15.75" customHeight="1" x14ac:dyDescent="0.3">
      <c r="A597" s="19"/>
      <c r="B597" s="19"/>
      <c r="C597" s="19"/>
      <c r="D597" s="19"/>
      <c r="E597" s="19"/>
      <c r="F597" s="19"/>
    </row>
    <row r="598" spans="1:6" ht="15.75" customHeight="1" x14ac:dyDescent="0.3">
      <c r="A598" s="19"/>
      <c r="B598" s="19"/>
      <c r="C598" s="19"/>
      <c r="D598" s="19"/>
      <c r="E598" s="19"/>
      <c r="F598" s="19"/>
    </row>
    <row r="599" spans="1:6" ht="15.75" customHeight="1" x14ac:dyDescent="0.3">
      <c r="A599" s="19"/>
      <c r="B599" s="19"/>
      <c r="C599" s="19"/>
      <c r="D599" s="19"/>
      <c r="E599" s="19"/>
      <c r="F599" s="19"/>
    </row>
    <row r="600" spans="1:6" ht="15.75" customHeight="1" x14ac:dyDescent="0.3">
      <c r="A600" s="19"/>
      <c r="B600" s="19"/>
      <c r="C600" s="19"/>
      <c r="D600" s="19"/>
      <c r="E600" s="19"/>
      <c r="F600" s="19"/>
    </row>
    <row r="601" spans="1:6" ht="15.75" customHeight="1" x14ac:dyDescent="0.3">
      <c r="A601" s="19"/>
      <c r="B601" s="19"/>
      <c r="C601" s="19"/>
      <c r="D601" s="19"/>
      <c r="E601" s="19"/>
      <c r="F601" s="19"/>
    </row>
    <row r="602" spans="1:6" ht="15.75" customHeight="1" x14ac:dyDescent="0.3">
      <c r="A602" s="19"/>
      <c r="B602" s="19"/>
      <c r="C602" s="19"/>
      <c r="D602" s="19"/>
      <c r="E602" s="19"/>
      <c r="F602" s="19"/>
    </row>
    <row r="603" spans="1:6" ht="15.75" customHeight="1" x14ac:dyDescent="0.3">
      <c r="A603" s="19"/>
      <c r="B603" s="19"/>
      <c r="C603" s="19"/>
      <c r="D603" s="19"/>
      <c r="E603" s="19"/>
      <c r="F603" s="19"/>
    </row>
    <row r="604" spans="1:6" ht="15.75" customHeight="1" x14ac:dyDescent="0.3">
      <c r="A604" s="19"/>
      <c r="B604" s="19"/>
      <c r="C604" s="19"/>
      <c r="D604" s="19"/>
      <c r="E604" s="19"/>
      <c r="F604" s="19"/>
    </row>
    <row r="605" spans="1:6" ht="15.75" customHeight="1" x14ac:dyDescent="0.3">
      <c r="A605" s="19"/>
      <c r="B605" s="19"/>
      <c r="C605" s="19"/>
      <c r="D605" s="19"/>
      <c r="E605" s="19"/>
      <c r="F605" s="19"/>
    </row>
    <row r="606" spans="1:6" ht="15.75" customHeight="1" x14ac:dyDescent="0.3">
      <c r="A606" s="19"/>
      <c r="B606" s="19"/>
      <c r="C606" s="19"/>
      <c r="D606" s="19"/>
      <c r="E606" s="19"/>
      <c r="F606" s="19"/>
    </row>
    <row r="607" spans="1:6" ht="15.75" customHeight="1" x14ac:dyDescent="0.3">
      <c r="A607" s="19"/>
      <c r="B607" s="19"/>
      <c r="C607" s="19"/>
      <c r="D607" s="19"/>
      <c r="E607" s="19"/>
      <c r="F607" s="19"/>
    </row>
    <row r="608" spans="1:6" ht="15.75" customHeight="1" x14ac:dyDescent="0.3">
      <c r="A608" s="19"/>
      <c r="B608" s="19"/>
      <c r="C608" s="19"/>
      <c r="D608" s="19"/>
      <c r="E608" s="19"/>
      <c r="F608" s="19"/>
    </row>
    <row r="609" spans="1:6" ht="15.75" customHeight="1" x14ac:dyDescent="0.3">
      <c r="A609" s="19"/>
      <c r="B609" s="19"/>
      <c r="C609" s="19"/>
      <c r="D609" s="19"/>
      <c r="E609" s="19"/>
      <c r="F609" s="19"/>
    </row>
    <row r="610" spans="1:6" ht="15.75" customHeight="1" x14ac:dyDescent="0.3">
      <c r="A610" s="19"/>
      <c r="B610" s="19"/>
      <c r="C610" s="19"/>
      <c r="D610" s="19"/>
      <c r="E610" s="19"/>
      <c r="F610" s="19"/>
    </row>
    <row r="611" spans="1:6" ht="15.75" customHeight="1" x14ac:dyDescent="0.3">
      <c r="A611" s="19"/>
      <c r="B611" s="19"/>
      <c r="C611" s="19"/>
      <c r="D611" s="19"/>
      <c r="E611" s="19"/>
      <c r="F611" s="19"/>
    </row>
    <row r="612" spans="1:6" ht="15.75" customHeight="1" x14ac:dyDescent="0.3">
      <c r="A612" s="19"/>
      <c r="B612" s="19"/>
      <c r="C612" s="19"/>
      <c r="D612" s="19"/>
      <c r="E612" s="19"/>
      <c r="F612" s="19"/>
    </row>
    <row r="613" spans="1:6" ht="15.75" customHeight="1" x14ac:dyDescent="0.3">
      <c r="A613" s="19"/>
      <c r="B613" s="19"/>
      <c r="C613" s="19"/>
      <c r="D613" s="19"/>
      <c r="E613" s="19"/>
      <c r="F613" s="19"/>
    </row>
    <row r="614" spans="1:6" ht="15.75" customHeight="1" x14ac:dyDescent="0.3">
      <c r="A614" s="19"/>
      <c r="B614" s="19"/>
      <c r="C614" s="19"/>
      <c r="D614" s="19"/>
      <c r="E614" s="19"/>
      <c r="F614" s="19"/>
    </row>
    <row r="615" spans="1:6" ht="15.75" customHeight="1" x14ac:dyDescent="0.3">
      <c r="A615" s="19"/>
      <c r="B615" s="19"/>
      <c r="C615" s="19"/>
      <c r="D615" s="19"/>
      <c r="E615" s="19"/>
      <c r="F615" s="19"/>
    </row>
    <row r="616" spans="1:6" ht="15.75" customHeight="1" x14ac:dyDescent="0.3">
      <c r="A616" s="19"/>
      <c r="B616" s="19"/>
      <c r="C616" s="19"/>
      <c r="D616" s="19"/>
      <c r="E616" s="19"/>
      <c r="F616" s="19"/>
    </row>
    <row r="617" spans="1:6" ht="15.75" customHeight="1" x14ac:dyDescent="0.3">
      <c r="A617" s="19"/>
      <c r="B617" s="19"/>
      <c r="C617" s="19"/>
      <c r="D617" s="19"/>
      <c r="E617" s="19"/>
      <c r="F617" s="19"/>
    </row>
    <row r="618" spans="1:6" ht="15.75" customHeight="1" x14ac:dyDescent="0.3">
      <c r="A618" s="19"/>
      <c r="B618" s="19"/>
      <c r="C618" s="19"/>
      <c r="D618" s="19"/>
      <c r="E618" s="19"/>
      <c r="F618" s="19"/>
    </row>
    <row r="619" spans="1:6" ht="15.75" customHeight="1" x14ac:dyDescent="0.3">
      <c r="A619" s="19"/>
      <c r="B619" s="19"/>
      <c r="C619" s="19"/>
      <c r="D619" s="19"/>
      <c r="E619" s="19"/>
      <c r="F619" s="19"/>
    </row>
    <row r="620" spans="1:6" ht="15.75" customHeight="1" x14ac:dyDescent="0.3">
      <c r="A620" s="19"/>
      <c r="B620" s="19"/>
      <c r="C620" s="19"/>
      <c r="D620" s="19"/>
      <c r="E620" s="19"/>
      <c r="F620" s="19"/>
    </row>
    <row r="621" spans="1:6" ht="15.75" customHeight="1" x14ac:dyDescent="0.3">
      <c r="A621" s="19"/>
      <c r="B621" s="19"/>
      <c r="C621" s="19"/>
      <c r="D621" s="19"/>
      <c r="E621" s="19"/>
      <c r="F621" s="19"/>
    </row>
    <row r="622" spans="1:6" ht="15.75" customHeight="1" x14ac:dyDescent="0.3">
      <c r="A622" s="19"/>
      <c r="B622" s="19"/>
      <c r="C622" s="19"/>
      <c r="D622" s="19"/>
      <c r="E622" s="19"/>
      <c r="F622" s="19"/>
    </row>
    <row r="623" spans="1:6" ht="15.75" customHeight="1" x14ac:dyDescent="0.3">
      <c r="A623" s="19"/>
      <c r="B623" s="19"/>
      <c r="C623" s="19"/>
      <c r="D623" s="19"/>
      <c r="E623" s="19"/>
      <c r="F623" s="19"/>
    </row>
    <row r="624" spans="1:6" ht="15.75" customHeight="1" x14ac:dyDescent="0.3">
      <c r="A624" s="19"/>
      <c r="B624" s="19"/>
      <c r="C624" s="19"/>
      <c r="D624" s="19"/>
      <c r="E624" s="19"/>
      <c r="F624" s="19"/>
    </row>
    <row r="625" spans="1:6" ht="15.75" customHeight="1" x14ac:dyDescent="0.3">
      <c r="A625" s="19"/>
      <c r="B625" s="19"/>
      <c r="C625" s="19"/>
      <c r="D625" s="19"/>
      <c r="E625" s="19"/>
      <c r="F625" s="19"/>
    </row>
    <row r="626" spans="1:6" ht="15.75" customHeight="1" x14ac:dyDescent="0.3">
      <c r="A626" s="19"/>
      <c r="B626" s="19"/>
      <c r="C626" s="19"/>
      <c r="D626" s="19"/>
      <c r="E626" s="19"/>
      <c r="F626" s="19"/>
    </row>
    <row r="627" spans="1:6" ht="15.75" customHeight="1" x14ac:dyDescent="0.3">
      <c r="A627" s="19"/>
      <c r="B627" s="19"/>
      <c r="C627" s="19"/>
      <c r="D627" s="19"/>
      <c r="E627" s="19"/>
      <c r="F627" s="19"/>
    </row>
    <row r="628" spans="1:6" ht="15.75" customHeight="1" x14ac:dyDescent="0.3">
      <c r="A628" s="19"/>
      <c r="B628" s="19"/>
      <c r="C628" s="19"/>
      <c r="D628" s="19"/>
      <c r="E628" s="19"/>
      <c r="F628" s="19"/>
    </row>
    <row r="629" spans="1:6" ht="15.75" customHeight="1" x14ac:dyDescent="0.3">
      <c r="A629" s="19"/>
      <c r="B629" s="19"/>
      <c r="C629" s="19"/>
      <c r="D629" s="19"/>
      <c r="E629" s="19"/>
      <c r="F629" s="19"/>
    </row>
    <row r="630" spans="1:6" ht="15.75" customHeight="1" x14ac:dyDescent="0.3">
      <c r="A630" s="19"/>
      <c r="B630" s="19"/>
      <c r="C630" s="19"/>
      <c r="D630" s="19"/>
      <c r="E630" s="19"/>
      <c r="F630" s="19"/>
    </row>
    <row r="631" spans="1:6" ht="15.75" customHeight="1" x14ac:dyDescent="0.3">
      <c r="A631" s="19"/>
      <c r="B631" s="19"/>
      <c r="C631" s="19"/>
      <c r="D631" s="19"/>
      <c r="E631" s="19"/>
      <c r="F631" s="19"/>
    </row>
    <row r="632" spans="1:6" ht="15.75" customHeight="1" x14ac:dyDescent="0.3">
      <c r="A632" s="19"/>
      <c r="B632" s="19"/>
      <c r="C632" s="19"/>
      <c r="D632" s="19"/>
      <c r="E632" s="19"/>
      <c r="F632" s="19"/>
    </row>
    <row r="633" spans="1:6" ht="15.75" customHeight="1" x14ac:dyDescent="0.3">
      <c r="A633" s="19"/>
      <c r="B633" s="19"/>
      <c r="C633" s="19"/>
      <c r="D633" s="19"/>
      <c r="E633" s="19"/>
      <c r="F633" s="19"/>
    </row>
    <row r="634" spans="1:6" ht="15.75" customHeight="1" x14ac:dyDescent="0.3">
      <c r="A634" s="19"/>
      <c r="B634" s="19"/>
      <c r="C634" s="19"/>
      <c r="D634" s="19"/>
      <c r="E634" s="19"/>
      <c r="F634" s="19"/>
    </row>
    <row r="635" spans="1:6" ht="15.75" customHeight="1" x14ac:dyDescent="0.3">
      <c r="A635" s="19"/>
      <c r="B635" s="19"/>
      <c r="C635" s="19"/>
      <c r="D635" s="19"/>
      <c r="E635" s="19"/>
      <c r="F635" s="19"/>
    </row>
    <row r="636" spans="1:6" ht="15.75" customHeight="1" x14ac:dyDescent="0.3">
      <c r="A636" s="19"/>
      <c r="B636" s="19"/>
      <c r="C636" s="19"/>
      <c r="D636" s="19"/>
      <c r="E636" s="19"/>
      <c r="F636" s="19"/>
    </row>
    <row r="637" spans="1:6" ht="15.75" customHeight="1" x14ac:dyDescent="0.3">
      <c r="A637" s="19"/>
      <c r="B637" s="19"/>
      <c r="C637" s="19"/>
      <c r="D637" s="19"/>
      <c r="E637" s="19"/>
      <c r="F637" s="19"/>
    </row>
    <row r="638" spans="1:6" ht="15.75" customHeight="1" x14ac:dyDescent="0.3">
      <c r="A638" s="19"/>
      <c r="B638" s="19"/>
      <c r="C638" s="19"/>
      <c r="D638" s="19"/>
      <c r="E638" s="19"/>
      <c r="F638" s="19"/>
    </row>
    <row r="639" spans="1:6" ht="15.75" customHeight="1" x14ac:dyDescent="0.3">
      <c r="A639" s="19"/>
      <c r="B639" s="19"/>
      <c r="C639" s="19"/>
      <c r="D639" s="19"/>
      <c r="E639" s="19"/>
      <c r="F639" s="19"/>
    </row>
    <row r="640" spans="1:6" ht="15.75" customHeight="1" x14ac:dyDescent="0.3">
      <c r="A640" s="19"/>
      <c r="B640" s="19"/>
      <c r="C640" s="19"/>
      <c r="D640" s="19"/>
      <c r="E640" s="19"/>
      <c r="F640" s="19"/>
    </row>
    <row r="641" spans="1:6" ht="15.75" customHeight="1" x14ac:dyDescent="0.3">
      <c r="A641" s="19"/>
      <c r="B641" s="19"/>
      <c r="C641" s="19"/>
      <c r="D641" s="19"/>
      <c r="E641" s="19"/>
      <c r="F641" s="19"/>
    </row>
    <row r="642" spans="1:6" ht="15.75" customHeight="1" x14ac:dyDescent="0.3">
      <c r="A642" s="19"/>
      <c r="B642" s="19"/>
      <c r="C642" s="19"/>
      <c r="D642" s="19"/>
      <c r="E642" s="19"/>
      <c r="F642" s="19"/>
    </row>
    <row r="643" spans="1:6" ht="15.75" customHeight="1" x14ac:dyDescent="0.3">
      <c r="A643" s="19"/>
      <c r="B643" s="19"/>
      <c r="C643" s="19"/>
      <c r="D643" s="19"/>
      <c r="E643" s="19"/>
      <c r="F643" s="19"/>
    </row>
    <row r="644" spans="1:6" ht="15.75" customHeight="1" x14ac:dyDescent="0.3">
      <c r="A644" s="19"/>
      <c r="B644" s="19"/>
      <c r="C644" s="19"/>
      <c r="D644" s="19"/>
      <c r="E644" s="19"/>
      <c r="F644" s="19"/>
    </row>
    <row r="645" spans="1:6" ht="15.75" customHeight="1" x14ac:dyDescent="0.3">
      <c r="A645" s="19"/>
      <c r="B645" s="19"/>
      <c r="C645" s="19"/>
      <c r="D645" s="19"/>
      <c r="E645" s="19"/>
      <c r="F645" s="19"/>
    </row>
    <row r="646" spans="1:6" ht="15.75" customHeight="1" x14ac:dyDescent="0.3">
      <c r="A646" s="19"/>
      <c r="B646" s="19"/>
      <c r="C646" s="19"/>
      <c r="D646" s="19"/>
      <c r="E646" s="19"/>
      <c r="F646" s="19"/>
    </row>
    <row r="647" spans="1:6" ht="15.75" customHeight="1" x14ac:dyDescent="0.3">
      <c r="A647" s="19"/>
      <c r="B647" s="19"/>
      <c r="C647" s="19"/>
      <c r="D647" s="19"/>
      <c r="E647" s="19"/>
      <c r="F647" s="19"/>
    </row>
    <row r="648" spans="1:6" ht="15.75" customHeight="1" x14ac:dyDescent="0.3">
      <c r="A648" s="19"/>
      <c r="B648" s="19"/>
      <c r="C648" s="19"/>
      <c r="D648" s="19"/>
      <c r="E648" s="19"/>
      <c r="F648" s="19"/>
    </row>
    <row r="649" spans="1:6" ht="15.75" customHeight="1" x14ac:dyDescent="0.3">
      <c r="A649" s="19"/>
      <c r="B649" s="19"/>
      <c r="C649" s="19"/>
      <c r="D649" s="19"/>
      <c r="E649" s="19"/>
      <c r="F649" s="19"/>
    </row>
    <row r="650" spans="1:6" ht="15.75" customHeight="1" x14ac:dyDescent="0.3">
      <c r="A650" s="19"/>
      <c r="B650" s="19"/>
      <c r="C650" s="19"/>
      <c r="D650" s="19"/>
      <c r="E650" s="19"/>
      <c r="F650" s="19"/>
    </row>
    <row r="651" spans="1:6" ht="15.75" customHeight="1" x14ac:dyDescent="0.3">
      <c r="A651" s="19"/>
      <c r="B651" s="19"/>
      <c r="C651" s="19"/>
      <c r="D651" s="19"/>
      <c r="E651" s="19"/>
      <c r="F651" s="19"/>
    </row>
    <row r="652" spans="1:6" ht="15.75" customHeight="1" x14ac:dyDescent="0.3">
      <c r="A652" s="19"/>
      <c r="B652" s="19"/>
      <c r="C652" s="19"/>
      <c r="D652" s="19"/>
      <c r="E652" s="19"/>
      <c r="F652" s="19"/>
    </row>
    <row r="653" spans="1:6" ht="15.75" customHeight="1" x14ac:dyDescent="0.3">
      <c r="A653" s="19"/>
      <c r="B653" s="19"/>
      <c r="C653" s="19"/>
      <c r="D653" s="19"/>
      <c r="E653" s="19"/>
      <c r="F653" s="19"/>
    </row>
    <row r="654" spans="1:6" ht="15.75" customHeight="1" x14ac:dyDescent="0.3">
      <c r="A654" s="19"/>
      <c r="B654" s="19"/>
      <c r="C654" s="19"/>
      <c r="D654" s="19"/>
      <c r="E654" s="19"/>
      <c r="F654" s="19"/>
    </row>
    <row r="655" spans="1:6" ht="15.75" customHeight="1" x14ac:dyDescent="0.3">
      <c r="A655" s="19"/>
      <c r="B655" s="19"/>
      <c r="C655" s="19"/>
      <c r="D655" s="19"/>
      <c r="E655" s="19"/>
      <c r="F655" s="19"/>
    </row>
    <row r="656" spans="1:6" ht="15.75" customHeight="1" x14ac:dyDescent="0.3">
      <c r="A656" s="19"/>
      <c r="B656" s="19"/>
      <c r="C656" s="19"/>
      <c r="D656" s="19"/>
      <c r="E656" s="19"/>
      <c r="F656" s="19"/>
    </row>
    <row r="657" spans="1:6" ht="15.75" customHeight="1" x14ac:dyDescent="0.3">
      <c r="A657" s="19"/>
      <c r="B657" s="19"/>
      <c r="C657" s="19"/>
      <c r="D657" s="19"/>
      <c r="E657" s="19"/>
      <c r="F657" s="19"/>
    </row>
    <row r="658" spans="1:6" ht="15.75" customHeight="1" x14ac:dyDescent="0.3">
      <c r="A658" s="19"/>
      <c r="B658" s="19"/>
      <c r="C658" s="19"/>
      <c r="D658" s="19"/>
      <c r="E658" s="19"/>
      <c r="F658" s="19"/>
    </row>
    <row r="659" spans="1:6" ht="15.75" customHeight="1" x14ac:dyDescent="0.3">
      <c r="A659" s="19"/>
      <c r="B659" s="19"/>
      <c r="C659" s="19"/>
      <c r="D659" s="19"/>
      <c r="E659" s="19"/>
      <c r="F659" s="19"/>
    </row>
    <row r="660" spans="1:6" ht="15.75" customHeight="1" x14ac:dyDescent="0.3">
      <c r="A660" s="19"/>
      <c r="B660" s="19"/>
      <c r="C660" s="19"/>
      <c r="D660" s="19"/>
      <c r="E660" s="19"/>
      <c r="F660" s="19"/>
    </row>
    <row r="661" spans="1:6" ht="15.75" customHeight="1" x14ac:dyDescent="0.3">
      <c r="A661" s="19"/>
      <c r="B661" s="19"/>
      <c r="C661" s="19"/>
      <c r="D661" s="19"/>
      <c r="E661" s="19"/>
      <c r="F661" s="19"/>
    </row>
    <row r="662" spans="1:6" ht="15.75" customHeight="1" x14ac:dyDescent="0.3">
      <c r="A662" s="19"/>
      <c r="B662" s="19"/>
      <c r="C662" s="19"/>
      <c r="D662" s="19"/>
      <c r="E662" s="19"/>
      <c r="F662" s="19"/>
    </row>
    <row r="663" spans="1:6" ht="15.75" customHeight="1" x14ac:dyDescent="0.3">
      <c r="A663" s="19"/>
      <c r="B663" s="19"/>
      <c r="C663" s="19"/>
      <c r="D663" s="19"/>
      <c r="E663" s="19"/>
      <c r="F663" s="19"/>
    </row>
    <row r="664" spans="1:6" ht="15.75" customHeight="1" x14ac:dyDescent="0.3">
      <c r="A664" s="19"/>
      <c r="B664" s="19"/>
      <c r="C664" s="19"/>
      <c r="D664" s="19"/>
      <c r="E664" s="19"/>
      <c r="F664" s="19"/>
    </row>
    <row r="665" spans="1:6" ht="15.75" customHeight="1" x14ac:dyDescent="0.3">
      <c r="A665" s="19"/>
      <c r="B665" s="19"/>
      <c r="C665" s="19"/>
      <c r="D665" s="19"/>
      <c r="E665" s="19"/>
      <c r="F665" s="19"/>
    </row>
    <row r="666" spans="1:6" ht="15.75" customHeight="1" x14ac:dyDescent="0.3">
      <c r="A666" s="19"/>
      <c r="B666" s="19"/>
      <c r="C666" s="19"/>
      <c r="D666" s="19"/>
      <c r="E666" s="19"/>
      <c r="F666" s="19"/>
    </row>
    <row r="667" spans="1:6" ht="15.75" customHeight="1" x14ac:dyDescent="0.3">
      <c r="A667" s="19"/>
      <c r="B667" s="19"/>
      <c r="C667" s="19"/>
      <c r="D667" s="19"/>
      <c r="E667" s="19"/>
      <c r="F667" s="19"/>
    </row>
    <row r="668" spans="1:6" ht="15.75" customHeight="1" x14ac:dyDescent="0.3">
      <c r="A668" s="19"/>
      <c r="B668" s="19"/>
      <c r="C668" s="19"/>
      <c r="D668" s="19"/>
      <c r="E668" s="19"/>
      <c r="F668" s="19"/>
    </row>
    <row r="669" spans="1:6" ht="15.75" customHeight="1" x14ac:dyDescent="0.3">
      <c r="A669" s="19"/>
      <c r="B669" s="19"/>
      <c r="C669" s="19"/>
      <c r="D669" s="19"/>
      <c r="E669" s="19"/>
      <c r="F669" s="19"/>
    </row>
    <row r="670" spans="1:6" ht="15.75" customHeight="1" x14ac:dyDescent="0.3">
      <c r="A670" s="19"/>
      <c r="B670" s="19"/>
      <c r="C670" s="19"/>
      <c r="D670" s="19"/>
      <c r="E670" s="19"/>
      <c r="F670" s="19"/>
    </row>
    <row r="671" spans="1:6" ht="15.75" customHeight="1" x14ac:dyDescent="0.3">
      <c r="A671" s="19"/>
      <c r="B671" s="19"/>
      <c r="C671" s="19"/>
      <c r="D671" s="19"/>
      <c r="E671" s="19"/>
      <c r="F671" s="19"/>
    </row>
    <row r="672" spans="1:6" ht="15.75" customHeight="1" x14ac:dyDescent="0.3">
      <c r="A672" s="19"/>
      <c r="B672" s="19"/>
      <c r="C672" s="19"/>
      <c r="D672" s="19"/>
      <c r="E672" s="19"/>
      <c r="F672" s="19"/>
    </row>
    <row r="673" spans="1:6" ht="15.75" customHeight="1" x14ac:dyDescent="0.3">
      <c r="A673" s="19"/>
      <c r="B673" s="19"/>
      <c r="C673" s="19"/>
      <c r="D673" s="19"/>
      <c r="E673" s="19"/>
      <c r="F673" s="19"/>
    </row>
    <row r="674" spans="1:6" ht="15.75" customHeight="1" x14ac:dyDescent="0.3">
      <c r="A674" s="19"/>
      <c r="B674" s="19"/>
      <c r="C674" s="19"/>
      <c r="D674" s="19"/>
      <c r="E674" s="19"/>
      <c r="F674" s="19"/>
    </row>
    <row r="675" spans="1:6" ht="15.75" customHeight="1" x14ac:dyDescent="0.3">
      <c r="A675" s="19"/>
      <c r="B675" s="19"/>
      <c r="C675" s="19"/>
      <c r="D675" s="19"/>
      <c r="E675" s="19"/>
      <c r="F675" s="19"/>
    </row>
    <row r="676" spans="1:6" ht="15.75" customHeight="1" x14ac:dyDescent="0.3">
      <c r="A676" s="19"/>
      <c r="B676" s="19"/>
      <c r="C676" s="19"/>
      <c r="D676" s="19"/>
      <c r="E676" s="19"/>
      <c r="F676" s="19"/>
    </row>
    <row r="677" spans="1:6" ht="15.75" customHeight="1" x14ac:dyDescent="0.3">
      <c r="A677" s="19"/>
      <c r="B677" s="19"/>
      <c r="C677" s="19"/>
      <c r="D677" s="19"/>
      <c r="E677" s="19"/>
      <c r="F677" s="19"/>
    </row>
    <row r="678" spans="1:6" ht="15.75" customHeight="1" x14ac:dyDescent="0.3">
      <c r="A678" s="19"/>
      <c r="B678" s="19"/>
      <c r="C678" s="19"/>
      <c r="D678" s="19"/>
      <c r="E678" s="19"/>
      <c r="F678" s="19"/>
    </row>
    <row r="679" spans="1:6" ht="15.75" customHeight="1" x14ac:dyDescent="0.3">
      <c r="A679" s="19"/>
      <c r="B679" s="19"/>
      <c r="C679" s="19"/>
      <c r="D679" s="19"/>
      <c r="E679" s="19"/>
      <c r="F679" s="19"/>
    </row>
    <row r="680" spans="1:6" ht="15.75" customHeight="1" x14ac:dyDescent="0.3">
      <c r="A680" s="19"/>
      <c r="B680" s="19"/>
      <c r="C680" s="19"/>
      <c r="D680" s="19"/>
      <c r="E680" s="19"/>
      <c r="F680" s="19"/>
    </row>
    <row r="681" spans="1:6" ht="15.75" customHeight="1" x14ac:dyDescent="0.3">
      <c r="A681" s="19"/>
      <c r="B681" s="19"/>
      <c r="C681" s="19"/>
      <c r="D681" s="19"/>
      <c r="E681" s="19"/>
      <c r="F681" s="19"/>
    </row>
    <row r="682" spans="1:6" ht="15.75" customHeight="1" x14ac:dyDescent="0.3">
      <c r="A682" s="19"/>
      <c r="B682" s="19"/>
      <c r="C682" s="19"/>
      <c r="D682" s="19"/>
      <c r="E682" s="19"/>
      <c r="F682" s="19"/>
    </row>
    <row r="683" spans="1:6" ht="15.75" customHeight="1" x14ac:dyDescent="0.3">
      <c r="A683" s="19"/>
      <c r="B683" s="19"/>
      <c r="C683" s="19"/>
      <c r="D683" s="19"/>
      <c r="E683" s="19"/>
      <c r="F683" s="19"/>
    </row>
    <row r="684" spans="1:6" ht="15.75" customHeight="1" x14ac:dyDescent="0.3">
      <c r="A684" s="19"/>
      <c r="B684" s="19"/>
      <c r="C684" s="19"/>
      <c r="D684" s="19"/>
      <c r="E684" s="19"/>
      <c r="F684" s="19"/>
    </row>
    <row r="685" spans="1:6" ht="15.75" customHeight="1" x14ac:dyDescent="0.3">
      <c r="A685" s="19"/>
      <c r="B685" s="19"/>
      <c r="C685" s="19"/>
      <c r="D685" s="19"/>
      <c r="E685" s="19"/>
      <c r="F685" s="19"/>
    </row>
    <row r="686" spans="1:6" ht="15.75" customHeight="1" x14ac:dyDescent="0.3">
      <c r="A686" s="19"/>
      <c r="B686" s="19"/>
      <c r="C686" s="19"/>
      <c r="D686" s="19"/>
      <c r="E686" s="19"/>
      <c r="F686" s="19"/>
    </row>
    <row r="687" spans="1:6" ht="15.75" customHeight="1" x14ac:dyDescent="0.3">
      <c r="A687" s="19"/>
      <c r="B687" s="19"/>
      <c r="C687" s="19"/>
      <c r="D687" s="19"/>
      <c r="E687" s="19"/>
      <c r="F687" s="19"/>
    </row>
    <row r="688" spans="1:6" ht="15.75" customHeight="1" x14ac:dyDescent="0.3">
      <c r="A688" s="19"/>
      <c r="B688" s="19"/>
      <c r="C688" s="19"/>
      <c r="D688" s="19"/>
      <c r="E688" s="19"/>
      <c r="F688" s="19"/>
    </row>
    <row r="689" spans="1:6" ht="15.75" customHeight="1" x14ac:dyDescent="0.3">
      <c r="A689" s="19"/>
      <c r="B689" s="19"/>
      <c r="C689" s="19"/>
      <c r="D689" s="19"/>
      <c r="E689" s="19"/>
      <c r="F689" s="19"/>
    </row>
    <row r="690" spans="1:6" ht="15.75" customHeight="1" x14ac:dyDescent="0.3">
      <c r="A690" s="19"/>
      <c r="B690" s="19"/>
      <c r="C690" s="19"/>
      <c r="D690" s="19"/>
      <c r="E690" s="19"/>
      <c r="F690" s="19"/>
    </row>
    <row r="691" spans="1:6" ht="15.75" customHeight="1" x14ac:dyDescent="0.3">
      <c r="A691" s="19"/>
      <c r="B691" s="19"/>
      <c r="C691" s="19"/>
      <c r="D691" s="19"/>
      <c r="E691" s="19"/>
      <c r="F691" s="19"/>
    </row>
    <row r="692" spans="1:6" ht="15.75" customHeight="1" x14ac:dyDescent="0.3">
      <c r="A692" s="19"/>
      <c r="B692" s="19"/>
      <c r="C692" s="19"/>
      <c r="D692" s="19"/>
      <c r="E692" s="19"/>
      <c r="F692" s="19"/>
    </row>
    <row r="693" spans="1:6" ht="15.75" customHeight="1" x14ac:dyDescent="0.3">
      <c r="A693" s="19"/>
      <c r="B693" s="19"/>
      <c r="C693" s="19"/>
      <c r="D693" s="19"/>
      <c r="E693" s="19"/>
      <c r="F693" s="19"/>
    </row>
    <row r="694" spans="1:6" ht="15.75" customHeight="1" x14ac:dyDescent="0.3">
      <c r="A694" s="19"/>
      <c r="B694" s="19"/>
      <c r="C694" s="19"/>
      <c r="D694" s="19"/>
      <c r="E694" s="19"/>
      <c r="F694" s="19"/>
    </row>
    <row r="695" spans="1:6" ht="15.75" customHeight="1" x14ac:dyDescent="0.3">
      <c r="A695" s="19"/>
      <c r="B695" s="19"/>
      <c r="C695" s="19"/>
      <c r="D695" s="19"/>
      <c r="E695" s="19"/>
      <c r="F695" s="19"/>
    </row>
    <row r="696" spans="1:6" ht="15.75" customHeight="1" x14ac:dyDescent="0.3">
      <c r="A696" s="19"/>
      <c r="B696" s="19"/>
      <c r="C696" s="19"/>
      <c r="D696" s="19"/>
      <c r="E696" s="19"/>
      <c r="F696" s="19"/>
    </row>
    <row r="697" spans="1:6" ht="15.75" customHeight="1" x14ac:dyDescent="0.3">
      <c r="A697" s="19"/>
      <c r="B697" s="19"/>
      <c r="C697" s="19"/>
      <c r="D697" s="19"/>
      <c r="E697" s="19"/>
      <c r="F697" s="19"/>
    </row>
    <row r="698" spans="1:6" ht="15.75" customHeight="1" x14ac:dyDescent="0.3">
      <c r="A698" s="19"/>
      <c r="B698" s="19"/>
      <c r="C698" s="19"/>
      <c r="D698" s="19"/>
      <c r="E698" s="19"/>
      <c r="F698" s="19"/>
    </row>
    <row r="699" spans="1:6" ht="15.75" customHeight="1" x14ac:dyDescent="0.3">
      <c r="A699" s="19"/>
      <c r="B699" s="19"/>
      <c r="C699" s="19"/>
      <c r="D699" s="19"/>
      <c r="E699" s="19"/>
      <c r="F699" s="19"/>
    </row>
    <row r="700" spans="1:6" ht="15.75" customHeight="1" x14ac:dyDescent="0.3">
      <c r="A700" s="19"/>
      <c r="B700" s="19"/>
      <c r="C700" s="19"/>
      <c r="D700" s="19"/>
      <c r="E700" s="19"/>
      <c r="F700" s="19"/>
    </row>
    <row r="701" spans="1:6" ht="15.75" customHeight="1" x14ac:dyDescent="0.3">
      <c r="A701" s="19"/>
      <c r="B701" s="19"/>
      <c r="C701" s="19"/>
      <c r="D701" s="19"/>
      <c r="E701" s="19"/>
      <c r="F701" s="19"/>
    </row>
    <row r="702" spans="1:6" ht="15.75" customHeight="1" x14ac:dyDescent="0.3">
      <c r="A702" s="19"/>
      <c r="B702" s="19"/>
      <c r="C702" s="19"/>
      <c r="D702" s="19"/>
      <c r="E702" s="19"/>
      <c r="F702" s="19"/>
    </row>
    <row r="703" spans="1:6" ht="15.75" customHeight="1" x14ac:dyDescent="0.3">
      <c r="A703" s="19"/>
      <c r="B703" s="19"/>
      <c r="C703" s="19"/>
      <c r="D703" s="19"/>
      <c r="E703" s="19"/>
      <c r="F703" s="19"/>
    </row>
    <row r="704" spans="1:6" ht="15.75" customHeight="1" x14ac:dyDescent="0.3">
      <c r="A704" s="19"/>
      <c r="B704" s="19"/>
      <c r="C704" s="19"/>
      <c r="D704" s="19"/>
      <c r="E704" s="19"/>
      <c r="F704" s="19"/>
    </row>
    <row r="705" spans="1:6" ht="15.75" customHeight="1" x14ac:dyDescent="0.3">
      <c r="A705" s="19"/>
      <c r="B705" s="19"/>
      <c r="C705" s="19"/>
      <c r="D705" s="19"/>
      <c r="E705" s="19"/>
      <c r="F705" s="19"/>
    </row>
    <row r="706" spans="1:6" ht="15.75" customHeight="1" x14ac:dyDescent="0.3">
      <c r="A706" s="19"/>
      <c r="B706" s="19"/>
      <c r="C706" s="19"/>
      <c r="D706" s="19"/>
      <c r="E706" s="19"/>
      <c r="F706" s="19"/>
    </row>
    <row r="707" spans="1:6" ht="15.75" customHeight="1" x14ac:dyDescent="0.3">
      <c r="A707" s="19"/>
      <c r="B707" s="19"/>
      <c r="C707" s="19"/>
      <c r="D707" s="19"/>
      <c r="E707" s="19"/>
      <c r="F707" s="19"/>
    </row>
    <row r="708" spans="1:6" ht="15.75" customHeight="1" x14ac:dyDescent="0.3">
      <c r="A708" s="19"/>
      <c r="B708" s="19"/>
      <c r="C708" s="19"/>
      <c r="D708" s="19"/>
      <c r="E708" s="19"/>
      <c r="F708" s="19"/>
    </row>
    <row r="709" spans="1:6" ht="15.75" customHeight="1" x14ac:dyDescent="0.3">
      <c r="A709" s="19"/>
      <c r="B709" s="19"/>
      <c r="C709" s="19"/>
      <c r="D709" s="19"/>
      <c r="E709" s="19"/>
      <c r="F709" s="19"/>
    </row>
    <row r="710" spans="1:6" ht="15.75" customHeight="1" x14ac:dyDescent="0.3">
      <c r="A710" s="19"/>
      <c r="B710" s="19"/>
      <c r="C710" s="19"/>
      <c r="D710" s="19"/>
      <c r="E710" s="19"/>
      <c r="F710" s="19"/>
    </row>
    <row r="711" spans="1:6" ht="15.75" customHeight="1" x14ac:dyDescent="0.3">
      <c r="A711" s="19"/>
      <c r="B711" s="19"/>
      <c r="C711" s="19"/>
      <c r="D711" s="19"/>
      <c r="E711" s="19"/>
      <c r="F711" s="19"/>
    </row>
    <row r="712" spans="1:6" ht="15.75" customHeight="1" x14ac:dyDescent="0.3">
      <c r="A712" s="19"/>
      <c r="B712" s="19"/>
      <c r="C712" s="19"/>
      <c r="D712" s="19"/>
      <c r="E712" s="19"/>
      <c r="F712" s="19"/>
    </row>
    <row r="713" spans="1:6" ht="15.75" customHeight="1" x14ac:dyDescent="0.3">
      <c r="A713" s="19"/>
      <c r="B713" s="19"/>
      <c r="C713" s="19"/>
      <c r="D713" s="19"/>
      <c r="E713" s="19"/>
      <c r="F713" s="19"/>
    </row>
    <row r="714" spans="1:6" ht="15.75" customHeight="1" x14ac:dyDescent="0.3">
      <c r="A714" s="19"/>
      <c r="B714" s="19"/>
      <c r="C714" s="19"/>
      <c r="D714" s="19"/>
      <c r="E714" s="19"/>
      <c r="F714" s="19"/>
    </row>
    <row r="715" spans="1:6" ht="15.75" customHeight="1" x14ac:dyDescent="0.3">
      <c r="A715" s="19"/>
      <c r="B715" s="19"/>
      <c r="C715" s="19"/>
      <c r="D715" s="19"/>
      <c r="E715" s="19"/>
      <c r="F715" s="19"/>
    </row>
    <row r="716" spans="1:6" ht="15.75" customHeight="1" x14ac:dyDescent="0.3">
      <c r="A716" s="19"/>
      <c r="B716" s="19"/>
      <c r="C716" s="19"/>
      <c r="D716" s="19"/>
      <c r="E716" s="19"/>
      <c r="F716" s="19"/>
    </row>
    <row r="717" spans="1:6" ht="15.75" customHeight="1" x14ac:dyDescent="0.3">
      <c r="A717" s="19"/>
      <c r="B717" s="19"/>
      <c r="C717" s="19"/>
      <c r="D717" s="19"/>
      <c r="E717" s="19"/>
      <c r="F717" s="19"/>
    </row>
    <row r="718" spans="1:6" ht="15.75" customHeight="1" x14ac:dyDescent="0.3">
      <c r="A718" s="19"/>
      <c r="B718" s="19"/>
      <c r="C718" s="19"/>
      <c r="D718" s="19"/>
      <c r="E718" s="19"/>
      <c r="F718" s="19"/>
    </row>
    <row r="719" spans="1:6" ht="15.75" customHeight="1" x14ac:dyDescent="0.3">
      <c r="A719" s="19"/>
      <c r="B719" s="19"/>
      <c r="C719" s="19"/>
      <c r="D719" s="19"/>
      <c r="E719" s="19"/>
      <c r="F719" s="19"/>
    </row>
    <row r="720" spans="1:6" ht="15.75" customHeight="1" x14ac:dyDescent="0.3">
      <c r="A720" s="19"/>
      <c r="B720" s="19"/>
      <c r="C720" s="19"/>
      <c r="D720" s="19"/>
      <c r="E720" s="19"/>
      <c r="F720" s="19"/>
    </row>
    <row r="721" spans="1:6" ht="15.75" customHeight="1" x14ac:dyDescent="0.3">
      <c r="A721" s="19"/>
      <c r="B721" s="19"/>
      <c r="C721" s="19"/>
      <c r="D721" s="19"/>
      <c r="E721" s="19"/>
      <c r="F721" s="19"/>
    </row>
    <row r="722" spans="1:6" ht="15.75" customHeight="1" x14ac:dyDescent="0.3">
      <c r="A722" s="19"/>
      <c r="B722" s="19"/>
      <c r="C722" s="19"/>
      <c r="D722" s="19"/>
      <c r="E722" s="19"/>
      <c r="F722" s="19"/>
    </row>
    <row r="723" spans="1:6" ht="15.75" customHeight="1" x14ac:dyDescent="0.3">
      <c r="A723" s="19"/>
      <c r="B723" s="19"/>
      <c r="C723" s="19"/>
      <c r="D723" s="19"/>
      <c r="E723" s="19"/>
      <c r="F723" s="19"/>
    </row>
    <row r="724" spans="1:6" ht="15.75" customHeight="1" x14ac:dyDescent="0.3">
      <c r="A724" s="19"/>
      <c r="B724" s="19"/>
      <c r="C724" s="19"/>
      <c r="D724" s="19"/>
      <c r="E724" s="19"/>
      <c r="F724" s="19"/>
    </row>
    <row r="725" spans="1:6" ht="15.75" customHeight="1" x14ac:dyDescent="0.3">
      <c r="A725" s="19"/>
      <c r="B725" s="19"/>
      <c r="C725" s="19"/>
      <c r="D725" s="19"/>
      <c r="E725" s="19"/>
      <c r="F725" s="19"/>
    </row>
    <row r="726" spans="1:6" ht="15.75" customHeight="1" x14ac:dyDescent="0.3">
      <c r="A726" s="19"/>
      <c r="B726" s="19"/>
      <c r="C726" s="19"/>
      <c r="D726" s="19"/>
      <c r="E726" s="19"/>
      <c r="F726" s="19"/>
    </row>
    <row r="727" spans="1:6" ht="15.75" customHeight="1" x14ac:dyDescent="0.3">
      <c r="A727" s="19"/>
      <c r="B727" s="19"/>
      <c r="C727" s="19"/>
      <c r="D727" s="19"/>
      <c r="E727" s="19"/>
      <c r="F727" s="19"/>
    </row>
    <row r="728" spans="1:6" ht="15.75" customHeight="1" x14ac:dyDescent="0.3">
      <c r="A728" s="19"/>
      <c r="B728" s="19"/>
      <c r="C728" s="19"/>
      <c r="D728" s="19"/>
      <c r="E728" s="19"/>
      <c r="F728" s="19"/>
    </row>
    <row r="729" spans="1:6" ht="15.75" customHeight="1" x14ac:dyDescent="0.3">
      <c r="A729" s="19"/>
      <c r="B729" s="19"/>
      <c r="C729" s="19"/>
      <c r="D729" s="19"/>
      <c r="E729" s="19"/>
      <c r="F729" s="19"/>
    </row>
    <row r="730" spans="1:6" ht="15.75" customHeight="1" x14ac:dyDescent="0.3">
      <c r="A730" s="19"/>
      <c r="B730" s="19"/>
      <c r="C730" s="19"/>
      <c r="D730" s="19"/>
      <c r="E730" s="19"/>
      <c r="F730" s="19"/>
    </row>
    <row r="731" spans="1:6" ht="15.75" customHeight="1" x14ac:dyDescent="0.3">
      <c r="A731" s="19"/>
      <c r="B731" s="19"/>
      <c r="C731" s="19"/>
      <c r="D731" s="19"/>
      <c r="E731" s="19"/>
      <c r="F731" s="19"/>
    </row>
    <row r="732" spans="1:6" ht="15.75" customHeight="1" x14ac:dyDescent="0.3">
      <c r="A732" s="19"/>
      <c r="B732" s="19"/>
      <c r="C732" s="19"/>
      <c r="D732" s="19"/>
      <c r="E732" s="19"/>
      <c r="F732" s="19"/>
    </row>
    <row r="733" spans="1:6" ht="15.75" customHeight="1" x14ac:dyDescent="0.3">
      <c r="A733" s="19"/>
      <c r="B733" s="19"/>
      <c r="C733" s="19"/>
      <c r="D733" s="19"/>
      <c r="E733" s="19"/>
      <c r="F733" s="19"/>
    </row>
    <row r="734" spans="1:6" ht="15.75" customHeight="1" x14ac:dyDescent="0.3">
      <c r="A734" s="19"/>
      <c r="B734" s="19"/>
      <c r="C734" s="19"/>
      <c r="D734" s="19"/>
      <c r="E734" s="19"/>
      <c r="F734" s="19"/>
    </row>
    <row r="735" spans="1:6" ht="15.75" customHeight="1" x14ac:dyDescent="0.3">
      <c r="A735" s="19"/>
      <c r="B735" s="19"/>
      <c r="C735" s="19"/>
      <c r="D735" s="19"/>
      <c r="E735" s="19"/>
      <c r="F735" s="19"/>
    </row>
    <row r="736" spans="1:6" ht="15.75" customHeight="1" x14ac:dyDescent="0.3">
      <c r="A736" s="19"/>
      <c r="B736" s="19"/>
      <c r="C736" s="19"/>
      <c r="D736" s="19"/>
      <c r="E736" s="19"/>
      <c r="F736" s="19"/>
    </row>
    <row r="737" spans="1:6" ht="15.75" customHeight="1" x14ac:dyDescent="0.3">
      <c r="A737" s="19"/>
      <c r="B737" s="19"/>
      <c r="C737" s="19"/>
      <c r="D737" s="19"/>
      <c r="E737" s="19"/>
      <c r="F737" s="19"/>
    </row>
    <row r="738" spans="1:6" ht="15.75" customHeight="1" x14ac:dyDescent="0.3">
      <c r="A738" s="19"/>
      <c r="B738" s="19"/>
      <c r="C738" s="19"/>
      <c r="D738" s="19"/>
      <c r="E738" s="19"/>
      <c r="F738" s="19"/>
    </row>
    <row r="739" spans="1:6" ht="15.75" customHeight="1" x14ac:dyDescent="0.3">
      <c r="A739" s="19"/>
      <c r="B739" s="19"/>
      <c r="C739" s="19"/>
      <c r="D739" s="19"/>
      <c r="E739" s="19"/>
      <c r="F739" s="19"/>
    </row>
    <row r="740" spans="1:6" ht="15.75" customHeight="1" x14ac:dyDescent="0.3">
      <c r="A740" s="19"/>
      <c r="B740" s="19"/>
      <c r="C740" s="19"/>
      <c r="D740" s="19"/>
      <c r="E740" s="19"/>
      <c r="F740" s="19"/>
    </row>
    <row r="741" spans="1:6" ht="15.75" customHeight="1" x14ac:dyDescent="0.3">
      <c r="A741" s="19"/>
      <c r="B741" s="19"/>
      <c r="C741" s="19"/>
      <c r="D741" s="19"/>
      <c r="E741" s="19"/>
      <c r="F741" s="19"/>
    </row>
    <row r="742" spans="1:6" ht="15.75" customHeight="1" x14ac:dyDescent="0.3">
      <c r="A742" s="19"/>
      <c r="B742" s="19"/>
      <c r="C742" s="19"/>
      <c r="D742" s="19"/>
      <c r="E742" s="19"/>
      <c r="F742" s="19"/>
    </row>
    <row r="743" spans="1:6" ht="15.75" customHeight="1" x14ac:dyDescent="0.3">
      <c r="A743" s="19"/>
      <c r="B743" s="19"/>
      <c r="C743" s="19"/>
      <c r="D743" s="19"/>
      <c r="E743" s="19"/>
      <c r="F743" s="19"/>
    </row>
    <row r="744" spans="1:6" ht="15.75" customHeight="1" x14ac:dyDescent="0.3">
      <c r="A744" s="19"/>
      <c r="B744" s="19"/>
      <c r="C744" s="19"/>
      <c r="D744" s="19"/>
      <c r="E744" s="19"/>
      <c r="F744" s="19"/>
    </row>
    <row r="745" spans="1:6" ht="15.75" customHeight="1" x14ac:dyDescent="0.3">
      <c r="A745" s="19"/>
      <c r="B745" s="19"/>
      <c r="C745" s="19"/>
      <c r="D745" s="19"/>
      <c r="E745" s="19"/>
      <c r="F745" s="19"/>
    </row>
    <row r="746" spans="1:6" ht="15.75" customHeight="1" x14ac:dyDescent="0.3">
      <c r="A746" s="19"/>
      <c r="B746" s="19"/>
      <c r="C746" s="19"/>
      <c r="D746" s="19"/>
      <c r="E746" s="19"/>
      <c r="F746" s="19"/>
    </row>
    <row r="747" spans="1:6" ht="15.75" customHeight="1" x14ac:dyDescent="0.3">
      <c r="A747" s="19"/>
      <c r="B747" s="19"/>
      <c r="C747" s="19"/>
      <c r="D747" s="19"/>
      <c r="E747" s="19"/>
      <c r="F747" s="19"/>
    </row>
    <row r="748" spans="1:6" ht="15.75" customHeight="1" x14ac:dyDescent="0.3">
      <c r="A748" s="19"/>
      <c r="B748" s="19"/>
      <c r="C748" s="19"/>
      <c r="D748" s="19"/>
      <c r="E748" s="19"/>
      <c r="F748" s="19"/>
    </row>
    <row r="749" spans="1:6" ht="15.75" customHeight="1" x14ac:dyDescent="0.3">
      <c r="A749" s="19"/>
      <c r="B749" s="19"/>
      <c r="C749" s="19"/>
      <c r="D749" s="19"/>
      <c r="E749" s="19"/>
      <c r="F749" s="19"/>
    </row>
    <row r="750" spans="1:6" ht="15.75" customHeight="1" x14ac:dyDescent="0.3">
      <c r="A750" s="19"/>
      <c r="B750" s="19"/>
      <c r="C750" s="19"/>
      <c r="D750" s="19"/>
      <c r="E750" s="19"/>
      <c r="F750" s="19"/>
    </row>
    <row r="751" spans="1:6" ht="15.75" customHeight="1" x14ac:dyDescent="0.3">
      <c r="A751" s="19"/>
      <c r="B751" s="19"/>
      <c r="C751" s="19"/>
      <c r="D751" s="19"/>
      <c r="E751" s="19"/>
      <c r="F751" s="19"/>
    </row>
    <row r="752" spans="1:6" ht="15.75" customHeight="1" x14ac:dyDescent="0.3">
      <c r="A752" s="19"/>
      <c r="B752" s="19"/>
      <c r="C752" s="19"/>
      <c r="D752" s="19"/>
      <c r="E752" s="19"/>
      <c r="F752" s="19"/>
    </row>
    <row r="753" spans="1:6" ht="15.75" customHeight="1" x14ac:dyDescent="0.3">
      <c r="A753" s="19"/>
      <c r="B753" s="19"/>
      <c r="C753" s="19"/>
      <c r="D753" s="19"/>
      <c r="E753" s="19"/>
      <c r="F753" s="19"/>
    </row>
    <row r="754" spans="1:6" ht="15.75" customHeight="1" x14ac:dyDescent="0.3">
      <c r="A754" s="19"/>
      <c r="B754" s="19"/>
      <c r="C754" s="19"/>
      <c r="D754" s="19"/>
      <c r="E754" s="19"/>
      <c r="F754" s="19"/>
    </row>
    <row r="755" spans="1:6" ht="15.75" customHeight="1" x14ac:dyDescent="0.3">
      <c r="A755" s="19"/>
      <c r="B755" s="19"/>
      <c r="C755" s="19"/>
      <c r="D755" s="19"/>
      <c r="E755" s="19"/>
      <c r="F755" s="19"/>
    </row>
    <row r="756" spans="1:6" ht="15.75" customHeight="1" x14ac:dyDescent="0.3">
      <c r="A756" s="19"/>
      <c r="B756" s="19"/>
      <c r="C756" s="19"/>
      <c r="D756" s="19"/>
      <c r="E756" s="19"/>
      <c r="F756" s="19"/>
    </row>
    <row r="757" spans="1:6" ht="15.75" customHeight="1" x14ac:dyDescent="0.3">
      <c r="A757" s="19"/>
      <c r="B757" s="19"/>
      <c r="C757" s="19"/>
      <c r="D757" s="19"/>
      <c r="E757" s="19"/>
      <c r="F757" s="19"/>
    </row>
    <row r="758" spans="1:6" ht="15.75" customHeight="1" x14ac:dyDescent="0.3">
      <c r="A758" s="19"/>
      <c r="B758" s="19"/>
      <c r="C758" s="19"/>
      <c r="D758" s="19"/>
      <c r="E758" s="19"/>
      <c r="F758" s="19"/>
    </row>
    <row r="759" spans="1:6" ht="15.75" customHeight="1" x14ac:dyDescent="0.3">
      <c r="A759" s="19"/>
      <c r="B759" s="19"/>
      <c r="C759" s="19"/>
      <c r="D759" s="19"/>
      <c r="E759" s="19"/>
      <c r="F759" s="19"/>
    </row>
    <row r="760" spans="1:6" ht="15.75" customHeight="1" x14ac:dyDescent="0.3">
      <c r="A760" s="19"/>
      <c r="B760" s="19"/>
      <c r="C760" s="19"/>
      <c r="D760" s="19"/>
      <c r="E760" s="19"/>
      <c r="F760" s="19"/>
    </row>
    <row r="761" spans="1:6" ht="15.75" customHeight="1" x14ac:dyDescent="0.3">
      <c r="A761" s="19"/>
      <c r="B761" s="19"/>
      <c r="C761" s="19"/>
      <c r="D761" s="19"/>
      <c r="E761" s="19"/>
      <c r="F761" s="19"/>
    </row>
    <row r="762" spans="1:6" ht="15.75" customHeight="1" x14ac:dyDescent="0.3">
      <c r="A762" s="19"/>
      <c r="B762" s="19"/>
      <c r="C762" s="19"/>
      <c r="D762" s="19"/>
      <c r="E762" s="19"/>
      <c r="F762" s="19"/>
    </row>
    <row r="763" spans="1:6" ht="15.75" customHeight="1" x14ac:dyDescent="0.3">
      <c r="A763" s="19"/>
      <c r="B763" s="19"/>
      <c r="C763" s="19"/>
      <c r="D763" s="19"/>
      <c r="E763" s="19"/>
      <c r="F763" s="19"/>
    </row>
    <row r="764" spans="1:6" ht="15.75" customHeight="1" x14ac:dyDescent="0.3">
      <c r="A764" s="19"/>
      <c r="B764" s="19"/>
      <c r="C764" s="19"/>
      <c r="D764" s="19"/>
      <c r="E764" s="19"/>
      <c r="F764" s="19"/>
    </row>
    <row r="765" spans="1:6" ht="15.75" customHeight="1" x14ac:dyDescent="0.3">
      <c r="A765" s="19"/>
      <c r="B765" s="19"/>
      <c r="C765" s="19"/>
      <c r="D765" s="19"/>
      <c r="E765" s="19"/>
      <c r="F765" s="19"/>
    </row>
    <row r="766" spans="1:6" ht="15.75" customHeight="1" x14ac:dyDescent="0.3">
      <c r="A766" s="19"/>
      <c r="B766" s="19"/>
      <c r="C766" s="19"/>
      <c r="D766" s="19"/>
      <c r="E766" s="19"/>
      <c r="F766" s="19"/>
    </row>
    <row r="767" spans="1:6" ht="15.75" customHeight="1" x14ac:dyDescent="0.3">
      <c r="A767" s="19"/>
      <c r="B767" s="19"/>
      <c r="C767" s="19"/>
      <c r="D767" s="19"/>
      <c r="E767" s="19"/>
      <c r="F767" s="19"/>
    </row>
    <row r="768" spans="1:6" ht="15.75" customHeight="1" x14ac:dyDescent="0.3">
      <c r="A768" s="19"/>
      <c r="B768" s="19"/>
      <c r="C768" s="19"/>
      <c r="D768" s="19"/>
      <c r="E768" s="19"/>
      <c r="F768" s="19"/>
    </row>
    <row r="769" spans="1:6" ht="15.75" customHeight="1" x14ac:dyDescent="0.3">
      <c r="A769" s="19"/>
      <c r="B769" s="19"/>
      <c r="C769" s="19"/>
      <c r="D769" s="19"/>
      <c r="E769" s="19"/>
      <c r="F769" s="19"/>
    </row>
    <row r="770" spans="1:6" ht="15.75" customHeight="1" x14ac:dyDescent="0.3">
      <c r="A770" s="19"/>
      <c r="B770" s="19"/>
      <c r="C770" s="19"/>
      <c r="D770" s="19"/>
      <c r="E770" s="19"/>
      <c r="F770" s="19"/>
    </row>
    <row r="771" spans="1:6" ht="15.75" customHeight="1" x14ac:dyDescent="0.3">
      <c r="A771" s="19"/>
      <c r="B771" s="19"/>
      <c r="C771" s="19"/>
      <c r="D771" s="19"/>
      <c r="E771" s="19"/>
      <c r="F771" s="19"/>
    </row>
    <row r="772" spans="1:6" ht="15.75" customHeight="1" x14ac:dyDescent="0.3">
      <c r="A772" s="19"/>
      <c r="B772" s="19"/>
      <c r="C772" s="19"/>
      <c r="D772" s="19"/>
      <c r="E772" s="19"/>
      <c r="F772" s="19"/>
    </row>
    <row r="773" spans="1:6" ht="15.75" customHeight="1" x14ac:dyDescent="0.3">
      <c r="A773" s="19"/>
      <c r="B773" s="19"/>
      <c r="C773" s="19"/>
      <c r="D773" s="19"/>
      <c r="E773" s="19"/>
      <c r="F773" s="19"/>
    </row>
    <row r="774" spans="1:6" ht="15.75" customHeight="1" x14ac:dyDescent="0.3">
      <c r="A774" s="19"/>
      <c r="B774" s="19"/>
      <c r="C774" s="19"/>
      <c r="D774" s="19"/>
      <c r="E774" s="19"/>
      <c r="F774" s="19"/>
    </row>
    <row r="775" spans="1:6" ht="15.75" customHeight="1" x14ac:dyDescent="0.3">
      <c r="A775" s="19"/>
      <c r="B775" s="19"/>
      <c r="C775" s="19"/>
      <c r="D775" s="19"/>
      <c r="E775" s="19"/>
      <c r="F775" s="19"/>
    </row>
    <row r="776" spans="1:6" ht="15.75" customHeight="1" x14ac:dyDescent="0.3">
      <c r="A776" s="19"/>
      <c r="B776" s="19"/>
      <c r="C776" s="19"/>
      <c r="D776" s="19"/>
      <c r="E776" s="19"/>
      <c r="F776" s="19"/>
    </row>
    <row r="777" spans="1:6" ht="15.75" customHeight="1" x14ac:dyDescent="0.3">
      <c r="A777" s="19"/>
      <c r="B777" s="19"/>
      <c r="C777" s="19"/>
      <c r="D777" s="19"/>
      <c r="E777" s="19"/>
      <c r="F777" s="19"/>
    </row>
    <row r="778" spans="1:6" ht="15.75" customHeight="1" x14ac:dyDescent="0.3">
      <c r="A778" s="19"/>
      <c r="B778" s="19"/>
      <c r="C778" s="19"/>
      <c r="D778" s="19"/>
      <c r="E778" s="19"/>
      <c r="F778" s="19"/>
    </row>
    <row r="779" spans="1:6" ht="15.75" customHeight="1" x14ac:dyDescent="0.3">
      <c r="A779" s="19"/>
      <c r="B779" s="19"/>
      <c r="C779" s="19"/>
      <c r="D779" s="19"/>
      <c r="E779" s="19"/>
      <c r="F779" s="19"/>
    </row>
    <row r="780" spans="1:6" ht="15.75" customHeight="1" x14ac:dyDescent="0.3">
      <c r="A780" s="19"/>
      <c r="B780" s="19"/>
      <c r="C780" s="19"/>
      <c r="D780" s="19"/>
      <c r="E780" s="19"/>
      <c r="F780" s="19"/>
    </row>
    <row r="781" spans="1:6" ht="15.75" customHeight="1" x14ac:dyDescent="0.3">
      <c r="A781" s="19"/>
      <c r="B781" s="19"/>
      <c r="C781" s="19"/>
      <c r="D781" s="19"/>
      <c r="E781" s="19"/>
      <c r="F781" s="19"/>
    </row>
    <row r="782" spans="1:6" ht="15.75" customHeight="1" x14ac:dyDescent="0.3">
      <c r="A782" s="19"/>
      <c r="B782" s="19"/>
      <c r="C782" s="19"/>
      <c r="D782" s="19"/>
      <c r="E782" s="19"/>
      <c r="F782" s="19"/>
    </row>
    <row r="783" spans="1:6" ht="15.75" customHeight="1" x14ac:dyDescent="0.3">
      <c r="A783" s="19"/>
      <c r="B783" s="19"/>
      <c r="C783" s="19"/>
      <c r="D783" s="19"/>
      <c r="E783" s="19"/>
      <c r="F783" s="19"/>
    </row>
    <row r="784" spans="1:6" ht="15.75" customHeight="1" x14ac:dyDescent="0.3">
      <c r="A784" s="19"/>
      <c r="B784" s="19"/>
      <c r="C784" s="19"/>
      <c r="D784" s="19"/>
      <c r="E784" s="19"/>
      <c r="F784" s="19"/>
    </row>
    <row r="785" spans="1:6" ht="15.75" customHeight="1" x14ac:dyDescent="0.3">
      <c r="A785" s="19"/>
      <c r="B785" s="19"/>
      <c r="C785" s="19"/>
      <c r="D785" s="19"/>
      <c r="E785" s="19"/>
      <c r="F785" s="19"/>
    </row>
    <row r="786" spans="1:6" ht="15.75" customHeight="1" x14ac:dyDescent="0.3">
      <c r="A786" s="19"/>
      <c r="B786" s="19"/>
      <c r="C786" s="19"/>
      <c r="D786" s="19"/>
      <c r="E786" s="19"/>
      <c r="F786" s="19"/>
    </row>
    <row r="787" spans="1:6" ht="15.75" customHeight="1" x14ac:dyDescent="0.3">
      <c r="A787" s="19"/>
      <c r="B787" s="19"/>
      <c r="C787" s="19"/>
      <c r="D787" s="19"/>
      <c r="E787" s="19"/>
      <c r="F787" s="19"/>
    </row>
    <row r="788" spans="1:6" ht="15.75" customHeight="1" x14ac:dyDescent="0.3">
      <c r="A788" s="19"/>
      <c r="B788" s="19"/>
      <c r="C788" s="19"/>
      <c r="D788" s="19"/>
      <c r="E788" s="19"/>
      <c r="F788" s="19"/>
    </row>
    <row r="789" spans="1:6" ht="15.75" customHeight="1" x14ac:dyDescent="0.3">
      <c r="A789" s="19"/>
      <c r="B789" s="19"/>
      <c r="C789" s="19"/>
      <c r="D789" s="19"/>
      <c r="E789" s="19"/>
      <c r="F789" s="19"/>
    </row>
    <row r="790" spans="1:6" ht="15.75" customHeight="1" x14ac:dyDescent="0.3">
      <c r="A790" s="19"/>
      <c r="B790" s="19"/>
      <c r="C790" s="19"/>
      <c r="D790" s="19"/>
      <c r="E790" s="19"/>
      <c r="F790" s="19"/>
    </row>
    <row r="791" spans="1:6" ht="15.75" customHeight="1" x14ac:dyDescent="0.3">
      <c r="A791" s="19"/>
      <c r="B791" s="19"/>
      <c r="C791" s="19"/>
      <c r="D791" s="19"/>
      <c r="E791" s="19"/>
      <c r="F791" s="19"/>
    </row>
    <row r="792" spans="1:6" ht="15.75" customHeight="1" x14ac:dyDescent="0.3">
      <c r="A792" s="19"/>
      <c r="B792" s="19"/>
      <c r="C792" s="19"/>
      <c r="D792" s="19"/>
      <c r="E792" s="19"/>
      <c r="F792" s="19"/>
    </row>
    <row r="793" spans="1:6" ht="15.75" customHeight="1" x14ac:dyDescent="0.3">
      <c r="A793" s="19"/>
      <c r="B793" s="19"/>
      <c r="C793" s="19"/>
      <c r="D793" s="19"/>
      <c r="E793" s="19"/>
      <c r="F793" s="19"/>
    </row>
    <row r="794" spans="1:6" ht="15.75" customHeight="1" x14ac:dyDescent="0.3">
      <c r="A794" s="19"/>
      <c r="B794" s="19"/>
      <c r="C794" s="19"/>
      <c r="D794" s="19"/>
      <c r="E794" s="19"/>
      <c r="F794" s="19"/>
    </row>
    <row r="795" spans="1:6" ht="15.75" customHeight="1" x14ac:dyDescent="0.3">
      <c r="A795" s="19"/>
      <c r="B795" s="19"/>
      <c r="C795" s="19"/>
      <c r="D795" s="19"/>
      <c r="E795" s="19"/>
      <c r="F795" s="19"/>
    </row>
    <row r="796" spans="1:6" ht="15.75" customHeight="1" x14ac:dyDescent="0.3">
      <c r="A796" s="19"/>
      <c r="B796" s="19"/>
      <c r="C796" s="19"/>
      <c r="D796" s="19"/>
      <c r="E796" s="19"/>
      <c r="F796" s="19"/>
    </row>
    <row r="797" spans="1:6" ht="15.75" customHeight="1" x14ac:dyDescent="0.3">
      <c r="A797" s="19"/>
      <c r="B797" s="19"/>
      <c r="C797" s="19"/>
      <c r="D797" s="19"/>
      <c r="E797" s="19"/>
      <c r="F797" s="19"/>
    </row>
    <row r="798" spans="1:6" ht="15.75" customHeight="1" x14ac:dyDescent="0.3">
      <c r="A798" s="19"/>
      <c r="B798" s="19"/>
      <c r="C798" s="19"/>
      <c r="D798" s="19"/>
      <c r="E798" s="19"/>
      <c r="F798" s="19"/>
    </row>
    <row r="799" spans="1:6" ht="15.75" customHeight="1" x14ac:dyDescent="0.3">
      <c r="A799" s="19"/>
      <c r="B799" s="19"/>
      <c r="C799" s="19"/>
      <c r="D799" s="19"/>
      <c r="E799" s="19"/>
      <c r="F799" s="19"/>
    </row>
    <row r="800" spans="1:6" ht="15.75" customHeight="1" x14ac:dyDescent="0.3">
      <c r="A800" s="19"/>
      <c r="B800" s="19"/>
      <c r="C800" s="19"/>
      <c r="D800" s="19"/>
      <c r="E800" s="19"/>
      <c r="F800" s="19"/>
    </row>
    <row r="801" spans="1:6" ht="15.75" customHeight="1" x14ac:dyDescent="0.3">
      <c r="A801" s="19"/>
      <c r="B801" s="19"/>
      <c r="C801" s="19"/>
      <c r="D801" s="19"/>
      <c r="E801" s="19"/>
      <c r="F801" s="19"/>
    </row>
    <row r="802" spans="1:6" ht="15.75" customHeight="1" x14ac:dyDescent="0.3">
      <c r="A802" s="19"/>
      <c r="B802" s="19"/>
      <c r="C802" s="19"/>
      <c r="D802" s="19"/>
      <c r="E802" s="19"/>
      <c r="F802" s="19"/>
    </row>
    <row r="803" spans="1:6" ht="15.75" customHeight="1" x14ac:dyDescent="0.3">
      <c r="A803" s="19"/>
      <c r="B803" s="19"/>
      <c r="C803" s="19"/>
      <c r="D803" s="19"/>
      <c r="E803" s="19"/>
      <c r="F803" s="19"/>
    </row>
    <row r="804" spans="1:6" ht="15.75" customHeight="1" x14ac:dyDescent="0.3">
      <c r="A804" s="19"/>
      <c r="B804" s="19"/>
      <c r="C804" s="19"/>
      <c r="D804" s="19"/>
      <c r="E804" s="19"/>
      <c r="F804" s="19"/>
    </row>
    <row r="805" spans="1:6" ht="15.75" customHeight="1" x14ac:dyDescent="0.3">
      <c r="A805" s="19"/>
      <c r="B805" s="19"/>
      <c r="C805" s="19"/>
      <c r="D805" s="19"/>
      <c r="E805" s="19"/>
      <c r="F805" s="19"/>
    </row>
    <row r="806" spans="1:6" ht="15.75" customHeight="1" x14ac:dyDescent="0.3">
      <c r="A806" s="19"/>
      <c r="B806" s="19"/>
      <c r="C806" s="19"/>
      <c r="D806" s="19"/>
      <c r="E806" s="19"/>
      <c r="F806" s="19"/>
    </row>
    <row r="807" spans="1:6" ht="15.75" customHeight="1" x14ac:dyDescent="0.3">
      <c r="A807" s="19"/>
      <c r="B807" s="19"/>
      <c r="C807" s="19"/>
      <c r="D807" s="19"/>
      <c r="E807" s="19"/>
      <c r="F807" s="19"/>
    </row>
    <row r="808" spans="1:6" ht="15.75" customHeight="1" x14ac:dyDescent="0.3">
      <c r="A808" s="19"/>
      <c r="B808" s="19"/>
      <c r="C808" s="19"/>
      <c r="D808" s="19"/>
      <c r="E808" s="19"/>
      <c r="F808" s="19"/>
    </row>
    <row r="809" spans="1:6" ht="15.75" customHeight="1" x14ac:dyDescent="0.3">
      <c r="A809" s="19"/>
      <c r="B809" s="19"/>
      <c r="C809" s="19"/>
      <c r="D809" s="19"/>
      <c r="E809" s="19"/>
      <c r="F809" s="19"/>
    </row>
    <row r="810" spans="1:6" ht="15.75" customHeight="1" x14ac:dyDescent="0.3">
      <c r="A810" s="19"/>
      <c r="B810" s="19"/>
      <c r="C810" s="19"/>
      <c r="D810" s="19"/>
      <c r="E810" s="19"/>
      <c r="F810" s="19"/>
    </row>
    <row r="811" spans="1:6" ht="15.75" customHeight="1" x14ac:dyDescent="0.3">
      <c r="A811" s="19"/>
      <c r="B811" s="19"/>
      <c r="C811" s="19"/>
      <c r="D811" s="19"/>
      <c r="E811" s="19"/>
      <c r="F811" s="19"/>
    </row>
    <row r="812" spans="1:6" ht="15.75" customHeight="1" x14ac:dyDescent="0.3">
      <c r="A812" s="19"/>
      <c r="B812" s="19"/>
      <c r="C812" s="19"/>
      <c r="D812" s="19"/>
      <c r="E812" s="19"/>
      <c r="F812" s="19"/>
    </row>
    <row r="813" spans="1:6" ht="15.75" customHeight="1" x14ac:dyDescent="0.3">
      <c r="A813" s="19"/>
      <c r="B813" s="19"/>
      <c r="C813" s="19"/>
      <c r="D813" s="19"/>
      <c r="E813" s="19"/>
      <c r="F813" s="19"/>
    </row>
    <row r="814" spans="1:6" ht="15.75" customHeight="1" x14ac:dyDescent="0.3">
      <c r="A814" s="19"/>
      <c r="B814" s="19"/>
      <c r="C814" s="19"/>
      <c r="D814" s="19"/>
      <c r="E814" s="19"/>
      <c r="F814" s="19"/>
    </row>
    <row r="815" spans="1:6" ht="15.75" customHeight="1" x14ac:dyDescent="0.3">
      <c r="A815" s="19"/>
      <c r="B815" s="19"/>
      <c r="C815" s="19"/>
      <c r="D815" s="19"/>
      <c r="E815" s="19"/>
      <c r="F815" s="19"/>
    </row>
    <row r="816" spans="1:6" ht="15.75" customHeight="1" x14ac:dyDescent="0.3">
      <c r="A816" s="19"/>
      <c r="B816" s="19"/>
      <c r="C816" s="19"/>
      <c r="D816" s="19"/>
      <c r="E816" s="19"/>
      <c r="F816" s="19"/>
    </row>
    <row r="817" spans="1:6" ht="15.75" customHeight="1" x14ac:dyDescent="0.3">
      <c r="A817" s="19"/>
      <c r="B817" s="19"/>
      <c r="C817" s="19"/>
      <c r="D817" s="19"/>
      <c r="E817" s="19"/>
      <c r="F817" s="19"/>
    </row>
    <row r="818" spans="1:6" ht="15.75" customHeight="1" x14ac:dyDescent="0.3">
      <c r="A818" s="19"/>
      <c r="B818" s="19"/>
      <c r="C818" s="19"/>
      <c r="D818" s="19"/>
      <c r="E818" s="19"/>
      <c r="F818" s="19"/>
    </row>
    <row r="819" spans="1:6" ht="15.75" customHeight="1" x14ac:dyDescent="0.3">
      <c r="A819" s="19"/>
      <c r="B819" s="19"/>
      <c r="C819" s="19"/>
      <c r="D819" s="19"/>
      <c r="E819" s="19"/>
      <c r="F819" s="19"/>
    </row>
    <row r="820" spans="1:6" ht="15.75" customHeight="1" x14ac:dyDescent="0.3">
      <c r="A820" s="19"/>
      <c r="B820" s="19"/>
      <c r="C820" s="19"/>
      <c r="D820" s="19"/>
      <c r="E820" s="19"/>
      <c r="F820" s="19"/>
    </row>
    <row r="821" spans="1:6" ht="15.75" customHeight="1" x14ac:dyDescent="0.3">
      <c r="A821" s="19"/>
      <c r="B821" s="19"/>
      <c r="C821" s="19"/>
      <c r="D821" s="19"/>
      <c r="E821" s="19"/>
      <c r="F821" s="19"/>
    </row>
    <row r="822" spans="1:6" ht="15.75" customHeight="1" x14ac:dyDescent="0.3">
      <c r="A822" s="19"/>
      <c r="B822" s="19"/>
      <c r="C822" s="19"/>
      <c r="D822" s="19"/>
      <c r="E822" s="19"/>
      <c r="F822" s="19"/>
    </row>
    <row r="823" spans="1:6" ht="15.75" customHeight="1" x14ac:dyDescent="0.3">
      <c r="A823" s="19"/>
      <c r="B823" s="19"/>
      <c r="C823" s="19"/>
      <c r="D823" s="19"/>
      <c r="E823" s="19"/>
      <c r="F823" s="19"/>
    </row>
    <row r="824" spans="1:6" ht="15.75" customHeight="1" x14ac:dyDescent="0.3">
      <c r="A824" s="19"/>
      <c r="B824" s="19"/>
      <c r="C824" s="19"/>
      <c r="D824" s="19"/>
      <c r="E824" s="19"/>
      <c r="F824" s="19"/>
    </row>
    <row r="825" spans="1:6" ht="15.75" customHeight="1" x14ac:dyDescent="0.3">
      <c r="A825" s="19"/>
      <c r="B825" s="19"/>
      <c r="C825" s="19"/>
      <c r="D825" s="19"/>
      <c r="E825" s="19"/>
      <c r="F825" s="19"/>
    </row>
    <row r="826" spans="1:6" ht="15.75" customHeight="1" x14ac:dyDescent="0.3">
      <c r="A826" s="19"/>
      <c r="B826" s="19"/>
      <c r="C826" s="19"/>
      <c r="D826" s="19"/>
      <c r="E826" s="19"/>
      <c r="F826" s="19"/>
    </row>
    <row r="827" spans="1:6" ht="15.75" customHeight="1" x14ac:dyDescent="0.3">
      <c r="A827" s="19"/>
      <c r="B827" s="19"/>
      <c r="C827" s="19"/>
      <c r="D827" s="19"/>
      <c r="E827" s="19"/>
      <c r="F827" s="19"/>
    </row>
    <row r="828" spans="1:6" ht="15.75" customHeight="1" x14ac:dyDescent="0.3">
      <c r="A828" s="19"/>
      <c r="B828" s="19"/>
      <c r="C828" s="19"/>
      <c r="D828" s="19"/>
      <c r="E828" s="19"/>
      <c r="F828" s="19"/>
    </row>
    <row r="829" spans="1:6" ht="15.75" customHeight="1" x14ac:dyDescent="0.3">
      <c r="A829" s="19"/>
      <c r="B829" s="19"/>
      <c r="C829" s="19"/>
      <c r="D829" s="19"/>
      <c r="E829" s="19"/>
      <c r="F829" s="19"/>
    </row>
    <row r="830" spans="1:6" ht="15.75" customHeight="1" x14ac:dyDescent="0.3">
      <c r="A830" s="19"/>
      <c r="B830" s="19"/>
      <c r="C830" s="19"/>
      <c r="D830" s="19"/>
      <c r="E830" s="19"/>
      <c r="F830" s="19"/>
    </row>
    <row r="831" spans="1:6" ht="15.75" customHeight="1" x14ac:dyDescent="0.3">
      <c r="A831" s="19"/>
      <c r="B831" s="19"/>
      <c r="C831" s="19"/>
      <c r="D831" s="19"/>
      <c r="E831" s="19"/>
      <c r="F831" s="19"/>
    </row>
    <row r="832" spans="1:6" ht="15.75" customHeight="1" x14ac:dyDescent="0.3">
      <c r="A832" s="19"/>
      <c r="B832" s="19"/>
      <c r="C832" s="19"/>
      <c r="D832" s="19"/>
      <c r="E832" s="19"/>
      <c r="F832" s="19"/>
    </row>
    <row r="833" spans="1:6" ht="15.75" customHeight="1" x14ac:dyDescent="0.3">
      <c r="A833" s="19"/>
      <c r="B833" s="19"/>
      <c r="C833" s="19"/>
      <c r="D833" s="19"/>
      <c r="E833" s="19"/>
      <c r="F833" s="19"/>
    </row>
    <row r="834" spans="1:6" ht="15.75" customHeight="1" x14ac:dyDescent="0.3">
      <c r="A834" s="19"/>
      <c r="B834" s="19"/>
      <c r="C834" s="19"/>
      <c r="D834" s="19"/>
      <c r="E834" s="19"/>
      <c r="F834" s="19"/>
    </row>
    <row r="835" spans="1:6" ht="15.75" customHeight="1" x14ac:dyDescent="0.3">
      <c r="A835" s="19"/>
      <c r="B835" s="19"/>
      <c r="C835" s="19"/>
      <c r="D835" s="19"/>
      <c r="E835" s="19"/>
      <c r="F835" s="19"/>
    </row>
    <row r="836" spans="1:6" ht="15.75" customHeight="1" x14ac:dyDescent="0.3">
      <c r="A836" s="19"/>
      <c r="B836" s="19"/>
      <c r="C836" s="19"/>
      <c r="D836" s="19"/>
      <c r="E836" s="19"/>
      <c r="F836" s="19"/>
    </row>
    <row r="837" spans="1:6" ht="15.75" customHeight="1" x14ac:dyDescent="0.3">
      <c r="A837" s="19"/>
      <c r="B837" s="19"/>
      <c r="C837" s="19"/>
      <c r="D837" s="19"/>
      <c r="E837" s="19"/>
      <c r="F837" s="19"/>
    </row>
    <row r="838" spans="1:6" ht="15.75" customHeight="1" x14ac:dyDescent="0.3">
      <c r="A838" s="19"/>
      <c r="B838" s="19"/>
      <c r="C838" s="19"/>
      <c r="D838" s="19"/>
      <c r="E838" s="19"/>
      <c r="F838" s="19"/>
    </row>
    <row r="839" spans="1:6" ht="15.75" customHeight="1" x14ac:dyDescent="0.3">
      <c r="A839" s="19"/>
      <c r="B839" s="19"/>
      <c r="C839" s="19"/>
      <c r="D839" s="19"/>
      <c r="E839" s="19"/>
      <c r="F839" s="19"/>
    </row>
    <row r="840" spans="1:6" ht="15.75" customHeight="1" x14ac:dyDescent="0.3">
      <c r="A840" s="19"/>
      <c r="B840" s="19"/>
      <c r="C840" s="19"/>
      <c r="D840" s="19"/>
      <c r="E840" s="19"/>
      <c r="F840" s="19"/>
    </row>
    <row r="841" spans="1:6" ht="15.75" customHeight="1" x14ac:dyDescent="0.3">
      <c r="A841" s="19"/>
      <c r="B841" s="19"/>
      <c r="C841" s="19"/>
      <c r="D841" s="19"/>
      <c r="E841" s="19"/>
      <c r="F841" s="19"/>
    </row>
    <row r="842" spans="1:6" ht="15.75" customHeight="1" x14ac:dyDescent="0.3">
      <c r="A842" s="19"/>
      <c r="B842" s="19"/>
      <c r="C842" s="19"/>
      <c r="D842" s="19"/>
      <c r="E842" s="19"/>
      <c r="F842" s="19"/>
    </row>
    <row r="843" spans="1:6" ht="15.75" customHeight="1" x14ac:dyDescent="0.3">
      <c r="A843" s="19"/>
      <c r="B843" s="19"/>
      <c r="C843" s="19"/>
      <c r="D843" s="19"/>
      <c r="E843" s="19"/>
      <c r="F843" s="19"/>
    </row>
    <row r="844" spans="1:6" ht="15.75" customHeight="1" x14ac:dyDescent="0.3">
      <c r="A844" s="19"/>
      <c r="B844" s="19"/>
      <c r="C844" s="19"/>
      <c r="D844" s="19"/>
      <c r="E844" s="19"/>
      <c r="F844" s="19"/>
    </row>
    <row r="845" spans="1:6" ht="15.75" customHeight="1" x14ac:dyDescent="0.3">
      <c r="A845" s="19"/>
      <c r="B845" s="19"/>
      <c r="C845" s="19"/>
      <c r="D845" s="19"/>
      <c r="E845" s="19"/>
      <c r="F845" s="19"/>
    </row>
    <row r="846" spans="1:6" ht="15.75" customHeight="1" x14ac:dyDescent="0.3">
      <c r="A846" s="19"/>
      <c r="B846" s="19"/>
      <c r="C846" s="19"/>
      <c r="D846" s="19"/>
      <c r="E846" s="19"/>
      <c r="F846" s="19"/>
    </row>
    <row r="847" spans="1:6" ht="15.75" customHeight="1" x14ac:dyDescent="0.3">
      <c r="A847" s="19"/>
      <c r="B847" s="19"/>
      <c r="C847" s="19"/>
      <c r="D847" s="19"/>
      <c r="E847" s="19"/>
      <c r="F847" s="19"/>
    </row>
    <row r="848" spans="1:6" ht="15.75" customHeight="1" x14ac:dyDescent="0.3">
      <c r="A848" s="19"/>
      <c r="B848" s="19"/>
      <c r="C848" s="19"/>
      <c r="D848" s="19"/>
      <c r="E848" s="19"/>
      <c r="F848" s="19"/>
    </row>
    <row r="849" spans="1:6" ht="15.75" customHeight="1" x14ac:dyDescent="0.3">
      <c r="A849" s="19"/>
      <c r="B849" s="19"/>
      <c r="C849" s="19"/>
      <c r="D849" s="19"/>
      <c r="E849" s="19"/>
      <c r="F849" s="19"/>
    </row>
    <row r="850" spans="1:6" ht="15.75" customHeight="1" x14ac:dyDescent="0.3">
      <c r="A850" s="19"/>
      <c r="B850" s="19"/>
      <c r="C850" s="19"/>
      <c r="D850" s="19"/>
      <c r="E850" s="19"/>
      <c r="F850" s="19"/>
    </row>
    <row r="851" spans="1:6" ht="15.75" customHeight="1" x14ac:dyDescent="0.3">
      <c r="A851" s="19"/>
      <c r="B851" s="19"/>
      <c r="C851" s="19"/>
      <c r="D851" s="19"/>
      <c r="E851" s="19"/>
      <c r="F851" s="19"/>
    </row>
    <row r="852" spans="1:6" ht="15.75" customHeight="1" x14ac:dyDescent="0.3">
      <c r="A852" s="19"/>
      <c r="B852" s="19"/>
      <c r="C852" s="19"/>
      <c r="D852" s="19"/>
      <c r="E852" s="19"/>
      <c r="F852" s="19"/>
    </row>
    <row r="853" spans="1:6" ht="15.75" customHeight="1" x14ac:dyDescent="0.3">
      <c r="A853" s="19"/>
      <c r="B853" s="19"/>
      <c r="C853" s="19"/>
      <c r="D853" s="19"/>
      <c r="E853" s="19"/>
      <c r="F853" s="19"/>
    </row>
    <row r="854" spans="1:6" ht="15.75" customHeight="1" x14ac:dyDescent="0.3">
      <c r="A854" s="19"/>
      <c r="B854" s="19"/>
      <c r="C854" s="19"/>
      <c r="D854" s="19"/>
      <c r="E854" s="19"/>
      <c r="F854" s="19"/>
    </row>
    <row r="855" spans="1:6" ht="15.75" customHeight="1" x14ac:dyDescent="0.3">
      <c r="A855" s="19"/>
      <c r="B855" s="19"/>
      <c r="C855" s="19"/>
      <c r="D855" s="19"/>
      <c r="E855" s="19"/>
      <c r="F855" s="19"/>
    </row>
    <row r="856" spans="1:6" ht="15.75" customHeight="1" x14ac:dyDescent="0.3">
      <c r="A856" s="19"/>
      <c r="B856" s="19"/>
      <c r="C856" s="19"/>
      <c r="D856" s="19"/>
      <c r="E856" s="19"/>
      <c r="F856" s="19"/>
    </row>
    <row r="857" spans="1:6" ht="15.75" customHeight="1" x14ac:dyDescent="0.3">
      <c r="A857" s="19"/>
      <c r="B857" s="19"/>
      <c r="C857" s="19"/>
      <c r="D857" s="19"/>
      <c r="E857" s="19"/>
      <c r="F857" s="19"/>
    </row>
    <row r="858" spans="1:6" ht="15.75" customHeight="1" x14ac:dyDescent="0.3">
      <c r="A858" s="19"/>
      <c r="B858" s="19"/>
      <c r="C858" s="19"/>
      <c r="D858" s="19"/>
      <c r="E858" s="19"/>
      <c r="F858" s="19"/>
    </row>
    <row r="859" spans="1:6" ht="15.75" customHeight="1" x14ac:dyDescent="0.3">
      <c r="A859" s="19"/>
      <c r="B859" s="19"/>
      <c r="C859" s="19"/>
      <c r="D859" s="19"/>
      <c r="E859" s="19"/>
      <c r="F859" s="19"/>
    </row>
    <row r="860" spans="1:6" ht="15.75" customHeight="1" x14ac:dyDescent="0.3">
      <c r="A860" s="19"/>
      <c r="B860" s="19"/>
      <c r="C860" s="19"/>
      <c r="D860" s="19"/>
      <c r="E860" s="19"/>
      <c r="F860" s="19"/>
    </row>
    <row r="861" spans="1:6" ht="15.75" customHeight="1" x14ac:dyDescent="0.3">
      <c r="A861" s="19"/>
      <c r="B861" s="19"/>
      <c r="C861" s="19"/>
      <c r="D861" s="19"/>
      <c r="E861" s="19"/>
      <c r="F861" s="19"/>
    </row>
    <row r="862" spans="1:6" ht="15.75" customHeight="1" x14ac:dyDescent="0.3">
      <c r="A862" s="19"/>
      <c r="B862" s="19"/>
      <c r="C862" s="19"/>
      <c r="D862" s="19"/>
      <c r="E862" s="19"/>
      <c r="F862" s="19"/>
    </row>
    <row r="863" spans="1:6" ht="15.75" customHeight="1" x14ac:dyDescent="0.3">
      <c r="A863" s="19"/>
      <c r="B863" s="19"/>
      <c r="C863" s="19"/>
      <c r="D863" s="19"/>
      <c r="E863" s="19"/>
      <c r="F863" s="19"/>
    </row>
    <row r="864" spans="1:6" ht="15.75" customHeight="1" x14ac:dyDescent="0.3">
      <c r="A864" s="19"/>
      <c r="B864" s="19"/>
      <c r="C864" s="19"/>
      <c r="D864" s="19"/>
      <c r="E864" s="19"/>
      <c r="F864" s="19"/>
    </row>
    <row r="865" spans="1:6" ht="15.75" customHeight="1" x14ac:dyDescent="0.3">
      <c r="A865" s="19"/>
      <c r="B865" s="19"/>
      <c r="C865" s="19"/>
      <c r="D865" s="19"/>
      <c r="E865" s="19"/>
      <c r="F865" s="19"/>
    </row>
    <row r="866" spans="1:6" ht="15.75" customHeight="1" x14ac:dyDescent="0.3">
      <c r="A866" s="19"/>
      <c r="B866" s="19"/>
      <c r="C866" s="19"/>
      <c r="D866" s="19"/>
      <c r="E866" s="19"/>
      <c r="F866" s="19"/>
    </row>
    <row r="867" spans="1:6" ht="15.75" customHeight="1" x14ac:dyDescent="0.3">
      <c r="A867" s="19"/>
      <c r="B867" s="19"/>
      <c r="C867" s="19"/>
      <c r="D867" s="19"/>
      <c r="E867" s="19"/>
      <c r="F867" s="19"/>
    </row>
    <row r="868" spans="1:6" ht="15.75" customHeight="1" x14ac:dyDescent="0.3">
      <c r="A868" s="19"/>
      <c r="B868" s="19"/>
      <c r="C868" s="19"/>
      <c r="D868" s="19"/>
      <c r="E868" s="19"/>
      <c r="F868" s="19"/>
    </row>
    <row r="869" spans="1:6" ht="15.75" customHeight="1" x14ac:dyDescent="0.3">
      <c r="A869" s="19"/>
      <c r="B869" s="19"/>
      <c r="C869" s="19"/>
      <c r="D869" s="19"/>
      <c r="E869" s="19"/>
      <c r="F869" s="19"/>
    </row>
    <row r="870" spans="1:6" ht="15.75" customHeight="1" x14ac:dyDescent="0.3">
      <c r="A870" s="19"/>
      <c r="B870" s="19"/>
      <c r="C870" s="19"/>
      <c r="D870" s="19"/>
      <c r="E870" s="19"/>
      <c r="F870" s="19"/>
    </row>
    <row r="871" spans="1:6" ht="15.75" customHeight="1" x14ac:dyDescent="0.3">
      <c r="A871" s="19"/>
      <c r="B871" s="19"/>
      <c r="C871" s="19"/>
      <c r="D871" s="19"/>
      <c r="E871" s="19"/>
      <c r="F871" s="19"/>
    </row>
    <row r="872" spans="1:6" ht="15.75" customHeight="1" x14ac:dyDescent="0.3">
      <c r="A872" s="19"/>
      <c r="B872" s="19"/>
      <c r="C872" s="19"/>
      <c r="D872" s="19"/>
      <c r="E872" s="19"/>
      <c r="F872" s="19"/>
    </row>
    <row r="873" spans="1:6" ht="15.75" customHeight="1" x14ac:dyDescent="0.3">
      <c r="A873" s="19"/>
      <c r="B873" s="19"/>
      <c r="C873" s="19"/>
      <c r="D873" s="19"/>
      <c r="E873" s="19"/>
      <c r="F873" s="19"/>
    </row>
    <row r="874" spans="1:6" ht="15.75" customHeight="1" x14ac:dyDescent="0.3">
      <c r="A874" s="19"/>
      <c r="B874" s="19"/>
      <c r="C874" s="19"/>
      <c r="D874" s="19"/>
      <c r="E874" s="19"/>
      <c r="F874" s="19"/>
    </row>
    <row r="875" spans="1:6" ht="15.75" customHeight="1" x14ac:dyDescent="0.3">
      <c r="A875" s="19"/>
      <c r="B875" s="19"/>
      <c r="C875" s="19"/>
      <c r="D875" s="19"/>
      <c r="E875" s="19"/>
      <c r="F875" s="19"/>
    </row>
    <row r="876" spans="1:6" ht="15.75" customHeight="1" x14ac:dyDescent="0.3">
      <c r="A876" s="19"/>
      <c r="B876" s="19"/>
      <c r="C876" s="19"/>
      <c r="D876" s="19"/>
      <c r="E876" s="19"/>
      <c r="F876" s="19"/>
    </row>
    <row r="877" spans="1:6" ht="15.75" customHeight="1" x14ac:dyDescent="0.3">
      <c r="A877" s="19"/>
      <c r="B877" s="19"/>
      <c r="C877" s="19"/>
      <c r="D877" s="19"/>
      <c r="E877" s="19"/>
      <c r="F877" s="19"/>
    </row>
    <row r="878" spans="1:6" ht="15.75" customHeight="1" x14ac:dyDescent="0.3">
      <c r="A878" s="19"/>
      <c r="B878" s="19"/>
      <c r="C878" s="19"/>
      <c r="D878" s="19"/>
      <c r="E878" s="19"/>
      <c r="F878" s="19"/>
    </row>
    <row r="879" spans="1:6" ht="15.75" customHeight="1" x14ac:dyDescent="0.3">
      <c r="A879" s="19"/>
      <c r="B879" s="19"/>
      <c r="C879" s="19"/>
      <c r="D879" s="19"/>
      <c r="E879" s="19"/>
      <c r="F879" s="19"/>
    </row>
    <row r="880" spans="1:6" ht="15.75" customHeight="1" x14ac:dyDescent="0.3">
      <c r="A880" s="19"/>
      <c r="B880" s="19"/>
      <c r="C880" s="19"/>
      <c r="D880" s="19"/>
      <c r="E880" s="19"/>
      <c r="F880" s="19"/>
    </row>
    <row r="881" spans="1:6" ht="15.75" customHeight="1" x14ac:dyDescent="0.3">
      <c r="A881" s="19"/>
      <c r="B881" s="19"/>
      <c r="C881" s="19"/>
      <c r="D881" s="19"/>
      <c r="E881" s="19"/>
      <c r="F881" s="19"/>
    </row>
    <row r="882" spans="1:6" ht="15.75" customHeight="1" x14ac:dyDescent="0.3">
      <c r="A882" s="19"/>
      <c r="B882" s="19"/>
      <c r="C882" s="19"/>
      <c r="D882" s="19"/>
      <c r="E882" s="19"/>
      <c r="F882" s="19"/>
    </row>
    <row r="883" spans="1:6" ht="15.75" customHeight="1" x14ac:dyDescent="0.3">
      <c r="A883" s="19"/>
      <c r="B883" s="19"/>
      <c r="C883" s="19"/>
      <c r="D883" s="19"/>
      <c r="E883" s="19"/>
      <c r="F883" s="19"/>
    </row>
    <row r="884" spans="1:6" ht="15.75" customHeight="1" x14ac:dyDescent="0.3">
      <c r="A884" s="19"/>
      <c r="B884" s="19"/>
      <c r="C884" s="19"/>
      <c r="D884" s="19"/>
      <c r="E884" s="19"/>
      <c r="F884" s="19"/>
    </row>
    <row r="885" spans="1:6" ht="15.75" customHeight="1" x14ac:dyDescent="0.3">
      <c r="A885" s="19"/>
      <c r="B885" s="19"/>
      <c r="C885" s="19"/>
      <c r="D885" s="19"/>
      <c r="E885" s="19"/>
      <c r="F885" s="19"/>
    </row>
    <row r="886" spans="1:6" ht="15.75" customHeight="1" x14ac:dyDescent="0.3">
      <c r="A886" s="19"/>
      <c r="B886" s="19"/>
      <c r="C886" s="19"/>
      <c r="D886" s="19"/>
      <c r="E886" s="19"/>
      <c r="F886" s="19"/>
    </row>
    <row r="887" spans="1:6" ht="15.75" customHeight="1" x14ac:dyDescent="0.3">
      <c r="A887" s="19"/>
      <c r="B887" s="19"/>
      <c r="C887" s="19"/>
      <c r="D887" s="19"/>
      <c r="E887" s="19"/>
      <c r="F887" s="19"/>
    </row>
    <row r="888" spans="1:6" ht="15.75" customHeight="1" x14ac:dyDescent="0.3">
      <c r="A888" s="19"/>
      <c r="B888" s="19"/>
      <c r="C888" s="19"/>
      <c r="D888" s="19"/>
      <c r="E888" s="19"/>
      <c r="F888" s="19"/>
    </row>
    <row r="889" spans="1:6" ht="15.75" customHeight="1" x14ac:dyDescent="0.3">
      <c r="A889" s="19"/>
      <c r="B889" s="19"/>
      <c r="C889" s="19"/>
      <c r="D889" s="19"/>
      <c r="E889" s="19"/>
      <c r="F889" s="19"/>
    </row>
    <row r="890" spans="1:6" ht="15.75" customHeight="1" x14ac:dyDescent="0.3">
      <c r="A890" s="19"/>
      <c r="B890" s="19"/>
      <c r="C890" s="19"/>
      <c r="D890" s="19"/>
      <c r="E890" s="19"/>
      <c r="F890" s="19"/>
    </row>
    <row r="891" spans="1:6" ht="15.75" customHeight="1" x14ac:dyDescent="0.3">
      <c r="A891" s="19"/>
      <c r="B891" s="19"/>
      <c r="C891" s="19"/>
      <c r="D891" s="19"/>
      <c r="E891" s="19"/>
      <c r="F891" s="19"/>
    </row>
    <row r="892" spans="1:6" ht="15.75" customHeight="1" x14ac:dyDescent="0.3">
      <c r="A892" s="19"/>
      <c r="B892" s="19"/>
      <c r="C892" s="19"/>
      <c r="D892" s="19"/>
      <c r="E892" s="19"/>
      <c r="F892" s="19"/>
    </row>
    <row r="893" spans="1:6" ht="15.75" customHeight="1" x14ac:dyDescent="0.3">
      <c r="A893" s="19"/>
      <c r="B893" s="19"/>
      <c r="C893" s="19"/>
      <c r="D893" s="19"/>
      <c r="E893" s="19"/>
      <c r="F893" s="19"/>
    </row>
    <row r="894" spans="1:6" ht="15.75" customHeight="1" x14ac:dyDescent="0.3">
      <c r="A894" s="19"/>
      <c r="B894" s="19"/>
      <c r="C894" s="19"/>
      <c r="D894" s="19"/>
      <c r="E894" s="19"/>
      <c r="F894" s="19"/>
    </row>
    <row r="895" spans="1:6" ht="15.75" customHeight="1" x14ac:dyDescent="0.3">
      <c r="A895" s="19"/>
      <c r="B895" s="19"/>
      <c r="C895" s="19"/>
      <c r="D895" s="19"/>
      <c r="E895" s="19"/>
      <c r="F895" s="19"/>
    </row>
    <row r="896" spans="1:6" ht="15.75" customHeight="1" x14ac:dyDescent="0.3">
      <c r="A896" s="19"/>
      <c r="B896" s="19"/>
      <c r="C896" s="19"/>
      <c r="D896" s="19"/>
      <c r="E896" s="19"/>
      <c r="F896" s="19"/>
    </row>
    <row r="897" spans="1:6" ht="15.75" customHeight="1" x14ac:dyDescent="0.3">
      <c r="A897" s="19"/>
      <c r="B897" s="19"/>
      <c r="C897" s="19"/>
      <c r="D897" s="19"/>
      <c r="E897" s="19"/>
      <c r="F897" s="19"/>
    </row>
    <row r="898" spans="1:6" ht="15.75" customHeight="1" x14ac:dyDescent="0.3">
      <c r="A898" s="19"/>
      <c r="B898" s="19"/>
      <c r="C898" s="19"/>
      <c r="D898" s="19"/>
      <c r="E898" s="19"/>
      <c r="F898" s="19"/>
    </row>
    <row r="899" spans="1:6" ht="15.75" customHeight="1" x14ac:dyDescent="0.3">
      <c r="A899" s="19"/>
      <c r="B899" s="19"/>
      <c r="C899" s="19"/>
      <c r="D899" s="19"/>
      <c r="E899" s="19"/>
      <c r="F899" s="19"/>
    </row>
    <row r="900" spans="1:6" ht="15.75" customHeight="1" x14ac:dyDescent="0.3">
      <c r="A900" s="19"/>
      <c r="B900" s="19"/>
      <c r="C900" s="19"/>
      <c r="D900" s="19"/>
      <c r="E900" s="19"/>
      <c r="F900" s="19"/>
    </row>
    <row r="901" spans="1:6" ht="15.75" customHeight="1" x14ac:dyDescent="0.3">
      <c r="A901" s="19"/>
      <c r="B901" s="19"/>
      <c r="C901" s="19"/>
      <c r="D901" s="19"/>
      <c r="E901" s="19"/>
      <c r="F901" s="19"/>
    </row>
    <row r="902" spans="1:6" ht="15.75" customHeight="1" x14ac:dyDescent="0.3">
      <c r="A902" s="19"/>
      <c r="B902" s="19"/>
      <c r="C902" s="19"/>
      <c r="D902" s="19"/>
      <c r="E902" s="19"/>
      <c r="F902" s="19"/>
    </row>
    <row r="903" spans="1:6" ht="15.75" customHeight="1" x14ac:dyDescent="0.3">
      <c r="A903" s="19"/>
      <c r="B903" s="19"/>
      <c r="C903" s="19"/>
      <c r="D903" s="19"/>
      <c r="E903" s="19"/>
      <c r="F903" s="19"/>
    </row>
    <row r="904" spans="1:6" ht="15.75" customHeight="1" x14ac:dyDescent="0.3">
      <c r="A904" s="19"/>
      <c r="B904" s="19"/>
      <c r="C904" s="19"/>
      <c r="D904" s="19"/>
      <c r="E904" s="19"/>
      <c r="F904" s="19"/>
    </row>
    <row r="905" spans="1:6" ht="15.75" customHeight="1" x14ac:dyDescent="0.3">
      <c r="A905" s="19"/>
      <c r="B905" s="19"/>
      <c r="C905" s="19"/>
      <c r="D905" s="19"/>
      <c r="E905" s="19"/>
      <c r="F905" s="19"/>
    </row>
    <row r="906" spans="1:6" ht="15.75" customHeight="1" x14ac:dyDescent="0.3">
      <c r="A906" s="19"/>
      <c r="B906" s="19"/>
      <c r="C906" s="19"/>
      <c r="D906" s="19"/>
      <c r="E906" s="19"/>
      <c r="F906" s="19"/>
    </row>
    <row r="907" spans="1:6" ht="15.75" customHeight="1" x14ac:dyDescent="0.3">
      <c r="A907" s="19"/>
      <c r="B907" s="19"/>
      <c r="C907" s="19"/>
      <c r="D907" s="19"/>
      <c r="E907" s="19"/>
      <c r="F907" s="19"/>
    </row>
    <row r="908" spans="1:6" ht="15.75" customHeight="1" x14ac:dyDescent="0.3">
      <c r="A908" s="19"/>
      <c r="B908" s="19"/>
      <c r="C908" s="19"/>
      <c r="D908" s="19"/>
      <c r="E908" s="19"/>
      <c r="F908" s="19"/>
    </row>
    <row r="909" spans="1:6" ht="15.75" customHeight="1" x14ac:dyDescent="0.3">
      <c r="A909" s="19"/>
      <c r="B909" s="19"/>
      <c r="C909" s="19"/>
      <c r="D909" s="19"/>
      <c r="E909" s="19"/>
      <c r="F909" s="19"/>
    </row>
    <row r="910" spans="1:6" ht="15.75" customHeight="1" x14ac:dyDescent="0.3">
      <c r="A910" s="19"/>
      <c r="B910" s="19"/>
      <c r="C910" s="19"/>
      <c r="D910" s="19"/>
      <c r="E910" s="19"/>
      <c r="F910" s="19"/>
    </row>
    <row r="911" spans="1:6" ht="15.75" customHeight="1" x14ac:dyDescent="0.3">
      <c r="A911" s="19"/>
      <c r="B911" s="19"/>
      <c r="C911" s="19"/>
      <c r="D911" s="19"/>
      <c r="E911" s="19"/>
      <c r="F911" s="19"/>
    </row>
    <row r="912" spans="1:6" ht="15.75" customHeight="1" x14ac:dyDescent="0.3">
      <c r="A912" s="19"/>
      <c r="B912" s="19"/>
      <c r="C912" s="19"/>
      <c r="D912" s="19"/>
      <c r="E912" s="19"/>
      <c r="F912" s="19"/>
    </row>
    <row r="913" spans="1:6" ht="15.75" customHeight="1" x14ac:dyDescent="0.3">
      <c r="A913" s="19"/>
      <c r="B913" s="19"/>
      <c r="C913" s="19"/>
      <c r="D913" s="19"/>
      <c r="E913" s="19"/>
      <c r="F913" s="19"/>
    </row>
    <row r="914" spans="1:6" ht="15.75" customHeight="1" x14ac:dyDescent="0.3">
      <c r="A914" s="19"/>
      <c r="B914" s="19"/>
      <c r="C914" s="19"/>
      <c r="D914" s="19"/>
      <c r="E914" s="19"/>
      <c r="F914" s="19"/>
    </row>
    <row r="915" spans="1:6" ht="15.75" customHeight="1" x14ac:dyDescent="0.3">
      <c r="A915" s="19"/>
      <c r="B915" s="19"/>
      <c r="C915" s="19"/>
      <c r="D915" s="19"/>
      <c r="E915" s="19"/>
      <c r="F915" s="19"/>
    </row>
    <row r="916" spans="1:6" ht="15.75" customHeight="1" x14ac:dyDescent="0.3">
      <c r="A916" s="19"/>
      <c r="B916" s="19"/>
      <c r="C916" s="19"/>
      <c r="D916" s="19"/>
      <c r="E916" s="19"/>
      <c r="F916" s="19"/>
    </row>
    <row r="917" spans="1:6" ht="15.75" customHeight="1" x14ac:dyDescent="0.3">
      <c r="A917" s="19"/>
      <c r="B917" s="19"/>
      <c r="C917" s="19"/>
      <c r="D917" s="19"/>
      <c r="E917" s="19"/>
      <c r="F917" s="19"/>
    </row>
    <row r="918" spans="1:6" ht="15.75" customHeight="1" x14ac:dyDescent="0.3">
      <c r="A918" s="19"/>
      <c r="B918" s="19"/>
      <c r="C918" s="19"/>
      <c r="D918" s="19"/>
      <c r="E918" s="19"/>
      <c r="F918" s="19"/>
    </row>
    <row r="919" spans="1:6" ht="15.75" customHeight="1" x14ac:dyDescent="0.3">
      <c r="A919" s="19"/>
      <c r="B919" s="19"/>
      <c r="C919" s="19"/>
      <c r="D919" s="19"/>
      <c r="E919" s="19"/>
      <c r="F919" s="19"/>
    </row>
    <row r="920" spans="1:6" ht="15.75" customHeight="1" x14ac:dyDescent="0.3">
      <c r="A920" s="19"/>
      <c r="B920" s="19"/>
      <c r="C920" s="19"/>
      <c r="D920" s="19"/>
      <c r="E920" s="19"/>
      <c r="F920" s="19"/>
    </row>
    <row r="921" spans="1:6" ht="15.75" customHeight="1" x14ac:dyDescent="0.3">
      <c r="A921" s="19"/>
      <c r="B921" s="19"/>
      <c r="C921" s="19"/>
      <c r="D921" s="19"/>
      <c r="E921" s="19"/>
      <c r="F921" s="19"/>
    </row>
    <row r="922" spans="1:6" ht="15.75" customHeight="1" x14ac:dyDescent="0.3">
      <c r="A922" s="19"/>
      <c r="B922" s="19"/>
      <c r="C922" s="19"/>
      <c r="D922" s="19"/>
      <c r="E922" s="19"/>
      <c r="F922" s="19"/>
    </row>
    <row r="923" spans="1:6" ht="15.75" customHeight="1" x14ac:dyDescent="0.3">
      <c r="A923" s="19"/>
      <c r="B923" s="19"/>
      <c r="C923" s="19"/>
      <c r="D923" s="19"/>
      <c r="E923" s="19"/>
      <c r="F923" s="19"/>
    </row>
    <row r="924" spans="1:6" ht="15.75" customHeight="1" x14ac:dyDescent="0.3">
      <c r="A924" s="19"/>
      <c r="B924" s="19"/>
      <c r="C924" s="19"/>
      <c r="D924" s="19"/>
      <c r="E924" s="19"/>
      <c r="F924" s="19"/>
    </row>
    <row r="925" spans="1:6" ht="15.75" customHeight="1" x14ac:dyDescent="0.3">
      <c r="A925" s="19"/>
      <c r="B925" s="19"/>
      <c r="C925" s="19"/>
      <c r="D925" s="19"/>
      <c r="E925" s="19"/>
      <c r="F925" s="19"/>
    </row>
    <row r="926" spans="1:6" ht="15.75" customHeight="1" x14ac:dyDescent="0.3">
      <c r="A926" s="19"/>
      <c r="B926" s="19"/>
      <c r="C926" s="19"/>
      <c r="D926" s="19"/>
      <c r="E926" s="19"/>
      <c r="F926" s="19"/>
    </row>
    <row r="927" spans="1:6" ht="15.75" customHeight="1" x14ac:dyDescent="0.3">
      <c r="A927" s="19"/>
      <c r="B927" s="19"/>
      <c r="C927" s="19"/>
      <c r="D927" s="19"/>
      <c r="E927" s="19"/>
      <c r="F927" s="19"/>
    </row>
    <row r="928" spans="1:6" ht="15.75" customHeight="1" x14ac:dyDescent="0.3">
      <c r="A928" s="19"/>
      <c r="B928" s="19"/>
      <c r="C928" s="19"/>
      <c r="D928" s="19"/>
      <c r="E928" s="19"/>
      <c r="F928" s="19"/>
    </row>
    <row r="929" spans="1:6" ht="15.75" customHeight="1" x14ac:dyDescent="0.3">
      <c r="A929" s="19"/>
      <c r="B929" s="19"/>
      <c r="C929" s="19"/>
      <c r="D929" s="19"/>
      <c r="E929" s="19"/>
      <c r="F929" s="19"/>
    </row>
    <row r="930" spans="1:6" ht="15.75" customHeight="1" x14ac:dyDescent="0.3">
      <c r="A930" s="19"/>
      <c r="B930" s="19"/>
      <c r="C930" s="19"/>
      <c r="D930" s="19"/>
      <c r="E930" s="19"/>
      <c r="F930" s="19"/>
    </row>
    <row r="931" spans="1:6" ht="15.75" customHeight="1" x14ac:dyDescent="0.3">
      <c r="A931" s="19"/>
      <c r="B931" s="19"/>
      <c r="C931" s="19"/>
      <c r="D931" s="19"/>
      <c r="E931" s="19"/>
      <c r="F931" s="19"/>
    </row>
    <row r="932" spans="1:6" ht="15.75" customHeight="1" x14ac:dyDescent="0.3">
      <c r="A932" s="19"/>
      <c r="B932" s="19"/>
      <c r="C932" s="19"/>
      <c r="D932" s="19"/>
      <c r="E932" s="19"/>
      <c r="F932" s="19"/>
    </row>
    <row r="933" spans="1:6" ht="15.75" customHeight="1" x14ac:dyDescent="0.3">
      <c r="A933" s="19"/>
      <c r="B933" s="19"/>
      <c r="C933" s="19"/>
      <c r="D933" s="19"/>
      <c r="E933" s="19"/>
      <c r="F933" s="19"/>
    </row>
    <row r="934" spans="1:6" ht="15.75" customHeight="1" x14ac:dyDescent="0.3">
      <c r="A934" s="19"/>
      <c r="B934" s="19"/>
      <c r="C934" s="19"/>
      <c r="D934" s="19"/>
      <c r="E934" s="19"/>
      <c r="F934" s="19"/>
    </row>
    <row r="935" spans="1:6" ht="15.75" customHeight="1" x14ac:dyDescent="0.3">
      <c r="A935" s="19"/>
      <c r="B935" s="19"/>
      <c r="C935" s="19"/>
      <c r="D935" s="19"/>
      <c r="E935" s="19"/>
      <c r="F935" s="19"/>
    </row>
    <row r="936" spans="1:6" ht="15.75" customHeight="1" x14ac:dyDescent="0.3">
      <c r="A936" s="19"/>
      <c r="B936" s="19"/>
      <c r="C936" s="19"/>
      <c r="D936" s="19"/>
      <c r="E936" s="19"/>
      <c r="F936" s="19"/>
    </row>
    <row r="937" spans="1:6" ht="15.75" customHeight="1" x14ac:dyDescent="0.3">
      <c r="A937" s="19"/>
      <c r="B937" s="19"/>
      <c r="C937" s="19"/>
      <c r="D937" s="19"/>
      <c r="E937" s="19"/>
      <c r="F937" s="19"/>
    </row>
    <row r="938" spans="1:6" ht="15.75" customHeight="1" x14ac:dyDescent="0.3">
      <c r="A938" s="19"/>
      <c r="B938" s="19"/>
      <c r="C938" s="19"/>
      <c r="D938" s="19"/>
      <c r="E938" s="19"/>
      <c r="F938" s="19"/>
    </row>
    <row r="939" spans="1:6" ht="15.75" customHeight="1" x14ac:dyDescent="0.3">
      <c r="A939" s="19"/>
      <c r="B939" s="19"/>
      <c r="C939" s="19"/>
      <c r="D939" s="19"/>
      <c r="E939" s="19"/>
      <c r="F939" s="19"/>
    </row>
    <row r="940" spans="1:6" ht="15.75" customHeight="1" x14ac:dyDescent="0.3">
      <c r="A940" s="19"/>
      <c r="B940" s="19"/>
      <c r="C940" s="19"/>
      <c r="D940" s="19"/>
      <c r="E940" s="19"/>
      <c r="F940" s="19"/>
    </row>
    <row r="941" spans="1:6" ht="15.75" customHeight="1" x14ac:dyDescent="0.3">
      <c r="A941" s="19"/>
      <c r="B941" s="19"/>
      <c r="C941" s="19"/>
      <c r="D941" s="19"/>
      <c r="E941" s="19"/>
      <c r="F941" s="19"/>
    </row>
    <row r="942" spans="1:6" ht="15.75" customHeight="1" x14ac:dyDescent="0.3">
      <c r="A942" s="19"/>
      <c r="B942" s="19"/>
      <c r="C942" s="19"/>
      <c r="D942" s="19"/>
      <c r="E942" s="19"/>
      <c r="F942" s="19"/>
    </row>
    <row r="943" spans="1:6" ht="15.75" customHeight="1" x14ac:dyDescent="0.3">
      <c r="A943" s="19"/>
      <c r="B943" s="19"/>
      <c r="C943" s="19"/>
      <c r="D943" s="19"/>
      <c r="E943" s="19"/>
      <c r="F943" s="19"/>
    </row>
    <row r="944" spans="1:6" ht="15.75" customHeight="1" x14ac:dyDescent="0.3">
      <c r="A944" s="19"/>
      <c r="B944" s="19"/>
      <c r="C944" s="19"/>
      <c r="D944" s="19"/>
      <c r="E944" s="19"/>
      <c r="F944" s="19"/>
    </row>
    <row r="945" spans="1:6" ht="15.75" customHeight="1" x14ac:dyDescent="0.3">
      <c r="A945" s="19"/>
      <c r="B945" s="19"/>
      <c r="C945" s="19"/>
      <c r="D945" s="19"/>
      <c r="E945" s="19"/>
      <c r="F945" s="19"/>
    </row>
    <row r="946" spans="1:6" ht="15.75" customHeight="1" x14ac:dyDescent="0.3">
      <c r="A946" s="19"/>
      <c r="B946" s="19"/>
      <c r="C946" s="19"/>
      <c r="D946" s="19"/>
      <c r="E946" s="19"/>
      <c r="F946" s="19"/>
    </row>
    <row r="947" spans="1:6" ht="15.75" customHeight="1" x14ac:dyDescent="0.3">
      <c r="A947" s="19"/>
      <c r="B947" s="19"/>
      <c r="C947" s="19"/>
      <c r="D947" s="19"/>
      <c r="E947" s="19"/>
      <c r="F947" s="19"/>
    </row>
    <row r="948" spans="1:6" ht="15.75" customHeight="1" x14ac:dyDescent="0.3">
      <c r="A948" s="19"/>
      <c r="B948" s="19"/>
      <c r="C948" s="19"/>
      <c r="D948" s="19"/>
      <c r="E948" s="19"/>
      <c r="F948" s="19"/>
    </row>
    <row r="949" spans="1:6" ht="15.75" customHeight="1" x14ac:dyDescent="0.3">
      <c r="A949" s="19"/>
      <c r="B949" s="19"/>
      <c r="C949" s="19"/>
      <c r="D949" s="19"/>
      <c r="E949" s="19"/>
      <c r="F949" s="19"/>
    </row>
    <row r="950" spans="1:6" ht="15.75" customHeight="1" x14ac:dyDescent="0.3">
      <c r="A950" s="19"/>
      <c r="B950" s="19"/>
      <c r="C950" s="19"/>
      <c r="D950" s="19"/>
      <c r="E950" s="19"/>
      <c r="F950" s="19"/>
    </row>
    <row r="951" spans="1:6" ht="15.75" customHeight="1" x14ac:dyDescent="0.3">
      <c r="A951" s="19"/>
      <c r="B951" s="19"/>
      <c r="C951" s="19"/>
      <c r="D951" s="19"/>
      <c r="E951" s="19"/>
      <c r="F951" s="19"/>
    </row>
    <row r="952" spans="1:6" ht="15.75" customHeight="1" x14ac:dyDescent="0.3">
      <c r="A952" s="19"/>
      <c r="B952" s="19"/>
      <c r="C952" s="19"/>
      <c r="D952" s="19"/>
      <c r="E952" s="19"/>
      <c r="F952" s="19"/>
    </row>
    <row r="953" spans="1:6" ht="15.75" customHeight="1" x14ac:dyDescent="0.3">
      <c r="A953" s="19"/>
      <c r="B953" s="19"/>
      <c r="C953" s="19"/>
      <c r="D953" s="19"/>
      <c r="E953" s="19"/>
      <c r="F953" s="19"/>
    </row>
    <row r="954" spans="1:6" ht="15.75" customHeight="1" x14ac:dyDescent="0.3">
      <c r="A954" s="19"/>
      <c r="B954" s="19"/>
      <c r="C954" s="19"/>
      <c r="D954" s="19"/>
      <c r="E954" s="19"/>
      <c r="F954" s="19"/>
    </row>
    <row r="955" spans="1:6" ht="15.75" customHeight="1" x14ac:dyDescent="0.3">
      <c r="A955" s="19"/>
      <c r="B955" s="19"/>
      <c r="C955" s="19"/>
      <c r="D955" s="19"/>
      <c r="E955" s="19"/>
      <c r="F955" s="19"/>
    </row>
    <row r="956" spans="1:6" ht="15.75" customHeight="1" x14ac:dyDescent="0.3">
      <c r="A956" s="19"/>
      <c r="B956" s="19"/>
      <c r="C956" s="19"/>
      <c r="D956" s="19"/>
      <c r="E956" s="19"/>
      <c r="F956" s="19"/>
    </row>
    <row r="957" spans="1:6" ht="15.75" customHeight="1" x14ac:dyDescent="0.3">
      <c r="A957" s="19"/>
      <c r="B957" s="19"/>
      <c r="C957" s="19"/>
      <c r="D957" s="19"/>
      <c r="E957" s="19"/>
      <c r="F957" s="19"/>
    </row>
    <row r="958" spans="1:6" ht="15.75" customHeight="1" x14ac:dyDescent="0.3">
      <c r="A958" s="19"/>
      <c r="B958" s="19"/>
      <c r="C958" s="19"/>
      <c r="D958" s="19"/>
      <c r="E958" s="19"/>
      <c r="F958" s="19"/>
    </row>
    <row r="959" spans="1:6" ht="15.75" customHeight="1" x14ac:dyDescent="0.3">
      <c r="A959" s="19"/>
      <c r="B959" s="19"/>
      <c r="C959" s="19"/>
      <c r="D959" s="19"/>
      <c r="E959" s="19"/>
      <c r="F959" s="19"/>
    </row>
    <row r="960" spans="1:6" ht="15.75" customHeight="1" x14ac:dyDescent="0.3">
      <c r="A960" s="19"/>
      <c r="B960" s="19"/>
      <c r="C960" s="19"/>
      <c r="D960" s="19"/>
      <c r="E960" s="19"/>
      <c r="F960" s="19"/>
    </row>
    <row r="961" spans="1:6" ht="15.75" customHeight="1" x14ac:dyDescent="0.3">
      <c r="A961" s="19"/>
      <c r="B961" s="19"/>
      <c r="C961" s="19"/>
      <c r="D961" s="19"/>
      <c r="E961" s="19"/>
      <c r="F961" s="19"/>
    </row>
    <row r="962" spans="1:6" ht="15.75" customHeight="1" x14ac:dyDescent="0.3">
      <c r="A962" s="19"/>
      <c r="B962" s="19"/>
      <c r="C962" s="19"/>
      <c r="D962" s="19"/>
      <c r="E962" s="19"/>
      <c r="F962" s="19"/>
    </row>
    <row r="963" spans="1:6" ht="15.75" customHeight="1" x14ac:dyDescent="0.3">
      <c r="A963" s="19"/>
      <c r="B963" s="19"/>
      <c r="C963" s="19"/>
      <c r="D963" s="19"/>
      <c r="E963" s="19"/>
      <c r="F963" s="19"/>
    </row>
    <row r="964" spans="1:6" ht="15.75" customHeight="1" x14ac:dyDescent="0.3">
      <c r="A964" s="19"/>
      <c r="B964" s="19"/>
      <c r="C964" s="19"/>
      <c r="D964" s="19"/>
      <c r="E964" s="19"/>
      <c r="F964" s="19"/>
    </row>
    <row r="965" spans="1:6" ht="15.75" customHeight="1" x14ac:dyDescent="0.3">
      <c r="A965" s="19"/>
      <c r="B965" s="19"/>
      <c r="C965" s="19"/>
      <c r="D965" s="19"/>
      <c r="E965" s="19"/>
      <c r="F965" s="19"/>
    </row>
    <row r="966" spans="1:6" ht="15.75" customHeight="1" x14ac:dyDescent="0.3">
      <c r="A966" s="19"/>
      <c r="B966" s="19"/>
      <c r="C966" s="19"/>
      <c r="D966" s="19"/>
      <c r="E966" s="19"/>
      <c r="F966" s="19"/>
    </row>
    <row r="967" spans="1:6" ht="15.75" customHeight="1" x14ac:dyDescent="0.3">
      <c r="A967" s="19"/>
      <c r="B967" s="19"/>
      <c r="C967" s="19"/>
      <c r="D967" s="19"/>
      <c r="E967" s="19"/>
      <c r="F967" s="19"/>
    </row>
    <row r="968" spans="1:6" ht="15.75" customHeight="1" x14ac:dyDescent="0.3">
      <c r="A968" s="19"/>
      <c r="B968" s="19"/>
      <c r="C968" s="19"/>
      <c r="D968" s="19"/>
      <c r="E968" s="19"/>
      <c r="F968" s="19"/>
    </row>
    <row r="969" spans="1:6" ht="15.75" customHeight="1" x14ac:dyDescent="0.3">
      <c r="A969" s="19"/>
      <c r="B969" s="19"/>
      <c r="C969" s="19"/>
      <c r="D969" s="19"/>
      <c r="E969" s="19"/>
      <c r="F969" s="19"/>
    </row>
    <row r="970" spans="1:6" ht="15.75" customHeight="1" x14ac:dyDescent="0.3">
      <c r="A970" s="19"/>
      <c r="B970" s="19"/>
      <c r="C970" s="19"/>
      <c r="D970" s="19"/>
      <c r="E970" s="19"/>
      <c r="F970" s="19"/>
    </row>
    <row r="971" spans="1:6" ht="15.75" customHeight="1" x14ac:dyDescent="0.3">
      <c r="A971" s="19"/>
      <c r="B971" s="19"/>
      <c r="C971" s="19"/>
      <c r="D971" s="19"/>
      <c r="E971" s="19"/>
      <c r="F971" s="19"/>
    </row>
    <row r="972" spans="1:6" ht="15.75" customHeight="1" x14ac:dyDescent="0.3">
      <c r="A972" s="19"/>
      <c r="B972" s="19"/>
      <c r="C972" s="19"/>
      <c r="D972" s="19"/>
      <c r="E972" s="19"/>
      <c r="F972" s="19"/>
    </row>
    <row r="973" spans="1:6" ht="15.75" customHeight="1" x14ac:dyDescent="0.3">
      <c r="A973" s="19"/>
      <c r="B973" s="19"/>
      <c r="C973" s="19"/>
      <c r="D973" s="19"/>
      <c r="E973" s="19"/>
      <c r="F973" s="19"/>
    </row>
    <row r="974" spans="1:6" ht="15.75" customHeight="1" x14ac:dyDescent="0.3">
      <c r="A974" s="19"/>
      <c r="B974" s="19"/>
      <c r="C974" s="19"/>
      <c r="D974" s="19"/>
      <c r="E974" s="19"/>
      <c r="F974" s="19"/>
    </row>
    <row r="975" spans="1:6" ht="15.75" customHeight="1" x14ac:dyDescent="0.3">
      <c r="A975" s="19"/>
      <c r="B975" s="19"/>
      <c r="C975" s="19"/>
      <c r="D975" s="19"/>
      <c r="E975" s="19"/>
      <c r="F975" s="19"/>
    </row>
    <row r="976" spans="1:6" ht="15.75" customHeight="1" x14ac:dyDescent="0.3">
      <c r="A976" s="19"/>
      <c r="B976" s="19"/>
      <c r="C976" s="19"/>
      <c r="D976" s="19"/>
      <c r="E976" s="19"/>
      <c r="F976" s="19"/>
    </row>
    <row r="977" spans="1:6" ht="15.75" customHeight="1" x14ac:dyDescent="0.3">
      <c r="A977" s="19"/>
      <c r="B977" s="19"/>
      <c r="C977" s="19"/>
      <c r="D977" s="19"/>
      <c r="E977" s="19"/>
      <c r="F977" s="19"/>
    </row>
    <row r="978" spans="1:6" ht="15.75" customHeight="1" x14ac:dyDescent="0.3">
      <c r="A978" s="19"/>
      <c r="B978" s="19"/>
      <c r="C978" s="19"/>
      <c r="D978" s="19"/>
      <c r="E978" s="19"/>
      <c r="F978" s="19"/>
    </row>
    <row r="979" spans="1:6" ht="15.75" customHeight="1" x14ac:dyDescent="0.3">
      <c r="A979" s="19"/>
      <c r="B979" s="19"/>
      <c r="C979" s="19"/>
      <c r="D979" s="19"/>
      <c r="E979" s="19"/>
      <c r="F979" s="19"/>
    </row>
    <row r="980" spans="1:6" ht="15.75" customHeight="1" x14ac:dyDescent="0.3">
      <c r="A980" s="19"/>
      <c r="B980" s="19"/>
      <c r="C980" s="19"/>
      <c r="D980" s="19"/>
      <c r="E980" s="19"/>
      <c r="F980" s="19"/>
    </row>
    <row r="981" spans="1:6" ht="15.75" customHeight="1" x14ac:dyDescent="0.3">
      <c r="A981" s="19"/>
      <c r="B981" s="19"/>
      <c r="C981" s="19"/>
      <c r="D981" s="19"/>
      <c r="E981" s="19"/>
      <c r="F981" s="19"/>
    </row>
    <row r="982" spans="1:6" ht="15.75" customHeight="1" x14ac:dyDescent="0.3">
      <c r="A982" s="19"/>
      <c r="B982" s="19"/>
      <c r="C982" s="19"/>
      <c r="D982" s="19"/>
      <c r="E982" s="19"/>
      <c r="F982" s="19"/>
    </row>
    <row r="983" spans="1:6" ht="15.75" customHeight="1" x14ac:dyDescent="0.3">
      <c r="A983" s="19"/>
      <c r="B983" s="19"/>
      <c r="C983" s="19"/>
      <c r="D983" s="19"/>
      <c r="E983" s="19"/>
      <c r="F983" s="19"/>
    </row>
    <row r="984" spans="1:6" ht="15.75" customHeight="1" x14ac:dyDescent="0.3">
      <c r="A984" s="19"/>
      <c r="B984" s="19"/>
      <c r="C984" s="19"/>
      <c r="D984" s="19"/>
      <c r="E984" s="19"/>
      <c r="F984" s="19"/>
    </row>
    <row r="985" spans="1:6" ht="15.75" customHeight="1" x14ac:dyDescent="0.3">
      <c r="A985" s="19"/>
      <c r="B985" s="19"/>
      <c r="C985" s="19"/>
      <c r="D985" s="19"/>
      <c r="E985" s="19"/>
      <c r="F985" s="19"/>
    </row>
    <row r="986" spans="1:6" ht="15.75" customHeight="1" x14ac:dyDescent="0.3">
      <c r="A986" s="19"/>
      <c r="B986" s="19"/>
      <c r="C986" s="19"/>
      <c r="D986" s="19"/>
      <c r="E986" s="19"/>
      <c r="F986" s="19"/>
    </row>
    <row r="987" spans="1:6" ht="15.75" customHeight="1" x14ac:dyDescent="0.3">
      <c r="A987" s="19"/>
      <c r="B987" s="19"/>
      <c r="C987" s="19"/>
      <c r="D987" s="19"/>
      <c r="E987" s="19"/>
      <c r="F987" s="19"/>
    </row>
    <row r="988" spans="1:6" ht="15.75" customHeight="1" x14ac:dyDescent="0.3">
      <c r="A988" s="19"/>
      <c r="B988" s="19"/>
      <c r="C988" s="19"/>
      <c r="D988" s="19"/>
      <c r="E988" s="19"/>
      <c r="F988" s="19"/>
    </row>
    <row r="989" spans="1:6" ht="15.75" customHeight="1" x14ac:dyDescent="0.3">
      <c r="A989" s="19"/>
      <c r="B989" s="19"/>
      <c r="C989" s="19"/>
      <c r="D989" s="19"/>
      <c r="E989" s="19"/>
      <c r="F989" s="19"/>
    </row>
    <row r="990" spans="1:6" ht="15.75" customHeight="1" x14ac:dyDescent="0.3">
      <c r="A990" s="19"/>
      <c r="B990" s="19"/>
      <c r="C990" s="19"/>
      <c r="D990" s="19"/>
      <c r="E990" s="19"/>
      <c r="F990" s="19"/>
    </row>
    <row r="991" spans="1:6" ht="15.75" customHeight="1" x14ac:dyDescent="0.3">
      <c r="A991" s="19"/>
      <c r="B991" s="19"/>
      <c r="C991" s="19"/>
      <c r="D991" s="19"/>
      <c r="E991" s="19"/>
      <c r="F991" s="19"/>
    </row>
    <row r="992" spans="1:6" ht="15.75" customHeight="1" x14ac:dyDescent="0.3">
      <c r="A992" s="19"/>
      <c r="B992" s="19"/>
      <c r="C992" s="19"/>
      <c r="D992" s="19"/>
      <c r="E992" s="19"/>
      <c r="F992" s="19"/>
    </row>
    <row r="993" spans="1:6" ht="15.75" customHeight="1" x14ac:dyDescent="0.3">
      <c r="A993" s="19"/>
      <c r="B993" s="19"/>
      <c r="C993" s="19"/>
      <c r="D993" s="19"/>
      <c r="E993" s="19"/>
      <c r="F993" s="19"/>
    </row>
    <row r="994" spans="1:6" ht="15.75" customHeight="1" x14ac:dyDescent="0.3">
      <c r="A994" s="19"/>
      <c r="B994" s="19"/>
      <c r="C994" s="19"/>
      <c r="D994" s="19"/>
      <c r="E994" s="19"/>
      <c r="F994" s="19"/>
    </row>
    <row r="995" spans="1:6" ht="15.75" customHeight="1" x14ac:dyDescent="0.3">
      <c r="A995" s="19"/>
      <c r="B995" s="19"/>
      <c r="C995" s="19"/>
      <c r="D995" s="19"/>
      <c r="E995" s="19"/>
      <c r="F995" s="19"/>
    </row>
    <row r="996" spans="1:6" ht="15.75" customHeight="1" x14ac:dyDescent="0.3">
      <c r="A996" s="19"/>
      <c r="B996" s="19"/>
      <c r="C996" s="19"/>
      <c r="D996" s="19"/>
      <c r="E996" s="19"/>
      <c r="F996" s="19"/>
    </row>
    <row r="997" spans="1:6" ht="15.75" customHeight="1" x14ac:dyDescent="0.3">
      <c r="A997" s="19"/>
      <c r="B997" s="19"/>
      <c r="C997" s="19"/>
      <c r="D997" s="19"/>
      <c r="E997" s="19"/>
      <c r="F997" s="19"/>
    </row>
    <row r="998" spans="1:6" ht="15.75" customHeight="1" x14ac:dyDescent="0.3">
      <c r="A998" s="19"/>
      <c r="B998" s="19"/>
      <c r="C998" s="19"/>
      <c r="D998" s="19"/>
      <c r="E998" s="19"/>
      <c r="F998" s="19"/>
    </row>
    <row r="999" spans="1:6" ht="15.75" customHeight="1" x14ac:dyDescent="0.3">
      <c r="A999" s="19"/>
      <c r="B999" s="19"/>
      <c r="C999" s="19"/>
      <c r="D999" s="19"/>
      <c r="E999" s="19"/>
      <c r="F999" s="19"/>
    </row>
    <row r="1000" spans="1:6" ht="15.75" customHeight="1" x14ac:dyDescent="0.3">
      <c r="A1000" s="19"/>
      <c r="B1000" s="19"/>
      <c r="C1000" s="19"/>
      <c r="D1000" s="19"/>
      <c r="E1000" s="19"/>
      <c r="F1000" s="19"/>
    </row>
  </sheetData>
  <mergeCells count="3">
    <mergeCell ref="A1:F1"/>
    <mergeCell ref="A2:F2"/>
    <mergeCell ref="A3:F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pane ySplit="4" topLeftCell="A5" activePane="bottomLeft" state="frozen"/>
      <selection pane="bottomLeft" activeCell="B6" sqref="B6"/>
    </sheetView>
  </sheetViews>
  <sheetFormatPr defaultColWidth="14.44140625" defaultRowHeight="14.4" x14ac:dyDescent="0.3"/>
  <cols>
    <col min="1" max="1" width="11" customWidth="1"/>
    <col min="2" max="2" width="13" customWidth="1"/>
    <col min="3" max="3" width="50" customWidth="1"/>
    <col min="4" max="4" width="26" customWidth="1"/>
    <col min="5" max="6" width="12" customWidth="1"/>
  </cols>
  <sheetData>
    <row r="1" spans="1:26" ht="17.25" customHeight="1" x14ac:dyDescent="0.3">
      <c r="A1" s="14" t="s">
        <v>255</v>
      </c>
      <c r="B1" s="14"/>
      <c r="C1" s="14"/>
      <c r="D1" s="14"/>
      <c r="E1" s="14"/>
      <c r="F1" s="14"/>
      <c r="G1" s="15"/>
      <c r="H1" s="15"/>
      <c r="I1" s="15"/>
      <c r="J1" s="15"/>
      <c r="K1" s="15"/>
      <c r="L1" s="15"/>
      <c r="M1" s="15"/>
      <c r="N1" s="15"/>
      <c r="O1" s="15"/>
      <c r="P1" s="15"/>
      <c r="Q1" s="15"/>
      <c r="R1" s="15"/>
      <c r="S1" s="15"/>
      <c r="T1" s="15"/>
      <c r="U1" s="15"/>
      <c r="V1" s="15"/>
      <c r="W1" s="15"/>
      <c r="X1" s="15"/>
      <c r="Y1" s="15"/>
      <c r="Z1" s="15"/>
    </row>
    <row r="2" spans="1:26" ht="15" customHeight="1" x14ac:dyDescent="0.3">
      <c r="A2" s="12" t="s">
        <v>256</v>
      </c>
      <c r="B2" s="12"/>
      <c r="C2" s="12"/>
      <c r="D2" s="12"/>
      <c r="E2" s="12"/>
      <c r="F2" s="12"/>
      <c r="G2" s="15"/>
      <c r="H2" s="15"/>
      <c r="I2" s="15"/>
      <c r="J2" s="15"/>
      <c r="K2" s="15"/>
      <c r="L2" s="15"/>
      <c r="M2" s="15"/>
      <c r="N2" s="15"/>
      <c r="O2" s="15"/>
      <c r="P2" s="15"/>
      <c r="Q2" s="15"/>
      <c r="R2" s="15"/>
      <c r="S2" s="15"/>
      <c r="T2" s="15"/>
      <c r="U2" s="15"/>
      <c r="V2" s="15"/>
      <c r="W2" s="15"/>
      <c r="X2" s="15"/>
      <c r="Y2" s="15"/>
      <c r="Z2" s="15"/>
    </row>
    <row r="3" spans="1:26" ht="15" customHeight="1" x14ac:dyDescent="0.3">
      <c r="A3" s="11" t="s">
        <v>257</v>
      </c>
      <c r="B3" s="11"/>
      <c r="C3" s="11"/>
      <c r="D3" s="11"/>
      <c r="E3" s="11"/>
      <c r="F3" s="11"/>
      <c r="G3" s="15"/>
      <c r="H3" s="15"/>
      <c r="I3" s="15"/>
      <c r="J3" s="15"/>
      <c r="K3" s="15"/>
      <c r="L3" s="15"/>
      <c r="M3" s="15"/>
      <c r="N3" s="15"/>
      <c r="O3" s="15"/>
      <c r="P3" s="15"/>
      <c r="Q3" s="15"/>
      <c r="R3" s="15"/>
      <c r="S3" s="15"/>
      <c r="T3" s="15"/>
      <c r="U3" s="15"/>
      <c r="V3" s="15"/>
      <c r="W3" s="15"/>
      <c r="X3" s="15"/>
      <c r="Y3" s="15"/>
      <c r="Z3" s="15"/>
    </row>
    <row r="4" spans="1:26" x14ac:dyDescent="0.3">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ht="15" customHeight="1" x14ac:dyDescent="0.3">
      <c r="A5" s="27" t="s">
        <v>173</v>
      </c>
      <c r="B5" s="15"/>
      <c r="C5" s="15"/>
      <c r="D5" s="15"/>
      <c r="E5" s="15"/>
      <c r="F5" s="15"/>
      <c r="G5" s="15"/>
      <c r="H5" s="15"/>
      <c r="I5" s="15"/>
      <c r="J5" s="15"/>
      <c r="K5" s="15"/>
      <c r="L5" s="15"/>
      <c r="M5" s="15"/>
      <c r="N5" s="15"/>
      <c r="O5" s="15"/>
      <c r="P5" s="15"/>
      <c r="Q5" s="15"/>
      <c r="R5" s="15"/>
      <c r="S5" s="15"/>
      <c r="T5" s="15"/>
      <c r="U5" s="15"/>
      <c r="V5" s="15"/>
      <c r="W5" s="15"/>
      <c r="X5" s="15"/>
      <c r="Y5" s="15"/>
      <c r="Z5" s="15"/>
    </row>
    <row r="6" spans="1:26" ht="23.25" customHeight="1" x14ac:dyDescent="0.3">
      <c r="A6" s="16" t="s">
        <v>174</v>
      </c>
      <c r="B6" s="16" t="s">
        <v>24</v>
      </c>
      <c r="C6" s="16" t="s">
        <v>29</v>
      </c>
      <c r="D6" s="16" t="s">
        <v>26</v>
      </c>
      <c r="E6" s="16" t="s">
        <v>175</v>
      </c>
      <c r="F6" s="15"/>
      <c r="G6" s="15"/>
      <c r="H6" s="15"/>
      <c r="I6" s="15"/>
      <c r="J6" s="15"/>
      <c r="K6" s="15"/>
      <c r="L6" s="15"/>
      <c r="M6" s="15"/>
      <c r="N6" s="15"/>
      <c r="O6" s="15"/>
      <c r="P6" s="15"/>
      <c r="Q6" s="15"/>
      <c r="R6" s="15"/>
      <c r="S6" s="15"/>
      <c r="T6" s="15"/>
      <c r="U6" s="15"/>
      <c r="V6" s="15"/>
      <c r="W6" s="15"/>
      <c r="X6" s="15"/>
      <c r="Y6" s="15"/>
      <c r="Z6" s="15"/>
    </row>
    <row r="7" spans="1:26" ht="69.75" customHeight="1" x14ac:dyDescent="0.3">
      <c r="A7" s="17" t="s">
        <v>258</v>
      </c>
      <c r="B7" s="17" t="s">
        <v>49</v>
      </c>
      <c r="C7" s="17" t="s">
        <v>6</v>
      </c>
      <c r="D7" s="17">
        <v>5</v>
      </c>
      <c r="E7" s="17" t="s">
        <v>259</v>
      </c>
      <c r="F7" s="15"/>
      <c r="G7" s="15"/>
      <c r="H7" s="15"/>
      <c r="I7" s="15"/>
      <c r="J7" s="15"/>
      <c r="K7" s="15"/>
      <c r="L7" s="15"/>
      <c r="M7" s="15"/>
      <c r="N7" s="15"/>
      <c r="O7" s="15"/>
      <c r="P7" s="15"/>
      <c r="Q7" s="15"/>
      <c r="R7" s="15"/>
      <c r="S7" s="15"/>
      <c r="T7" s="15"/>
      <c r="U7" s="15"/>
      <c r="V7" s="15"/>
      <c r="W7" s="15"/>
      <c r="X7" s="15"/>
      <c r="Y7" s="15"/>
      <c r="Z7" s="15"/>
    </row>
    <row r="8" spans="1:26" ht="69.75" customHeight="1" x14ac:dyDescent="0.3">
      <c r="A8" s="18" t="s">
        <v>260</v>
      </c>
      <c r="B8" s="18" t="s">
        <v>53</v>
      </c>
      <c r="C8" s="18" t="s">
        <v>12</v>
      </c>
      <c r="D8" s="18">
        <v>5</v>
      </c>
      <c r="E8" s="18" t="s">
        <v>261</v>
      </c>
      <c r="F8" s="15"/>
      <c r="G8" s="15"/>
      <c r="H8" s="15"/>
      <c r="I8" s="15"/>
      <c r="J8" s="15"/>
      <c r="K8" s="15"/>
      <c r="L8" s="15"/>
      <c r="M8" s="15"/>
      <c r="N8" s="15"/>
      <c r="O8" s="15"/>
      <c r="P8" s="15"/>
      <c r="Q8" s="15"/>
      <c r="R8" s="15"/>
      <c r="S8" s="15"/>
      <c r="T8" s="15"/>
      <c r="U8" s="15"/>
      <c r="V8" s="15"/>
      <c r="W8" s="15"/>
      <c r="X8" s="15"/>
      <c r="Y8" s="15"/>
      <c r="Z8" s="15"/>
    </row>
    <row r="9" spans="1:26" ht="69.75" customHeight="1" x14ac:dyDescent="0.3">
      <c r="A9" s="17" t="s">
        <v>262</v>
      </c>
      <c r="B9" s="17" t="s">
        <v>55</v>
      </c>
      <c r="C9" s="17" t="s">
        <v>15</v>
      </c>
      <c r="D9" s="17">
        <v>3</v>
      </c>
      <c r="E9" s="17" t="s">
        <v>263</v>
      </c>
      <c r="F9" s="15"/>
      <c r="G9" s="15"/>
      <c r="H9" s="15"/>
      <c r="I9" s="15"/>
      <c r="J9" s="15"/>
      <c r="K9" s="15"/>
      <c r="L9" s="15"/>
      <c r="M9" s="15"/>
      <c r="N9" s="15"/>
      <c r="O9" s="15"/>
      <c r="P9" s="15"/>
      <c r="Q9" s="15"/>
      <c r="R9" s="15"/>
      <c r="S9" s="15"/>
      <c r="T9" s="15"/>
      <c r="U9" s="15"/>
      <c r="V9" s="15"/>
      <c r="W9" s="15"/>
      <c r="X9" s="15"/>
      <c r="Y9" s="15"/>
      <c r="Z9" s="15"/>
    </row>
    <row r="10" spans="1:26" ht="69.75" customHeight="1" x14ac:dyDescent="0.3">
      <c r="A10" s="18" t="s">
        <v>264</v>
      </c>
      <c r="B10" s="18" t="s">
        <v>57</v>
      </c>
      <c r="C10" s="18" t="s">
        <v>9</v>
      </c>
      <c r="D10" s="18">
        <v>5</v>
      </c>
      <c r="E10" s="18" t="s">
        <v>265</v>
      </c>
      <c r="F10" s="15"/>
      <c r="G10" s="15"/>
      <c r="H10" s="15"/>
      <c r="I10" s="15"/>
      <c r="J10" s="15"/>
      <c r="K10" s="15"/>
      <c r="L10" s="15"/>
      <c r="M10" s="15"/>
      <c r="N10" s="15"/>
      <c r="O10" s="15"/>
      <c r="P10" s="15"/>
      <c r="Q10" s="15"/>
      <c r="R10" s="15"/>
      <c r="S10" s="15"/>
      <c r="T10" s="15"/>
      <c r="U10" s="15"/>
      <c r="V10" s="15"/>
      <c r="W10" s="15"/>
      <c r="X10" s="15"/>
      <c r="Y10" s="15"/>
      <c r="Z10" s="15"/>
    </row>
    <row r="11" spans="1:26"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5" customHeight="1" x14ac:dyDescent="0.3">
      <c r="A12" s="27" t="s">
        <v>266</v>
      </c>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23.25" customHeight="1" x14ac:dyDescent="0.3">
      <c r="A13" s="16" t="s">
        <v>174</v>
      </c>
      <c r="B13" s="16" t="s">
        <v>189</v>
      </c>
      <c r="C13" s="16" t="s">
        <v>190</v>
      </c>
      <c r="D13" s="16" t="s">
        <v>29</v>
      </c>
      <c r="E13" s="16" t="s">
        <v>191</v>
      </c>
      <c r="F13" s="16" t="s">
        <v>27</v>
      </c>
      <c r="G13" s="15"/>
      <c r="H13" s="15"/>
      <c r="I13" s="15"/>
      <c r="J13" s="15"/>
      <c r="K13" s="15"/>
      <c r="L13" s="15"/>
      <c r="M13" s="15"/>
      <c r="N13" s="15"/>
      <c r="O13" s="15"/>
      <c r="P13" s="15"/>
      <c r="Q13" s="15"/>
      <c r="R13" s="15"/>
      <c r="S13" s="15"/>
      <c r="T13" s="15"/>
      <c r="U13" s="15"/>
      <c r="V13" s="15"/>
      <c r="W13" s="15"/>
      <c r="X13" s="15"/>
      <c r="Y13" s="15"/>
      <c r="Z13" s="15"/>
    </row>
    <row r="14" spans="1:26" ht="15" customHeight="1" x14ac:dyDescent="0.3">
      <c r="A14" s="10" t="s">
        <v>267</v>
      </c>
      <c r="B14" s="10"/>
      <c r="C14" s="10"/>
      <c r="D14" s="10"/>
      <c r="E14" s="10"/>
      <c r="F14" s="10"/>
      <c r="G14" s="15"/>
      <c r="H14" s="15"/>
      <c r="I14" s="15"/>
      <c r="J14" s="15"/>
      <c r="K14" s="15"/>
      <c r="L14" s="15"/>
      <c r="M14" s="15"/>
      <c r="N14" s="15"/>
      <c r="O14" s="15"/>
      <c r="P14" s="15"/>
      <c r="Q14" s="15"/>
      <c r="R14" s="15"/>
      <c r="S14" s="15"/>
      <c r="T14" s="15"/>
      <c r="U14" s="15"/>
      <c r="V14" s="15"/>
      <c r="W14" s="15"/>
      <c r="X14" s="15"/>
      <c r="Y14" s="15"/>
      <c r="Z14" s="15"/>
    </row>
    <row r="15" spans="1:2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 customHeight="1" x14ac:dyDescent="0.3">
      <c r="A16" s="27" t="s">
        <v>188</v>
      </c>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23.25" customHeight="1" x14ac:dyDescent="0.3">
      <c r="A17" s="16" t="s">
        <v>174</v>
      </c>
      <c r="B17" s="16" t="s">
        <v>189</v>
      </c>
      <c r="C17" s="16" t="s">
        <v>190</v>
      </c>
      <c r="D17" s="16" t="s">
        <v>29</v>
      </c>
      <c r="E17" s="16" t="s">
        <v>191</v>
      </c>
      <c r="F17" s="16" t="s">
        <v>27</v>
      </c>
      <c r="G17" s="15"/>
      <c r="H17" s="15"/>
      <c r="I17" s="15"/>
      <c r="J17" s="15"/>
      <c r="K17" s="15"/>
      <c r="L17" s="15"/>
      <c r="M17" s="15"/>
      <c r="N17" s="15"/>
      <c r="O17" s="15"/>
      <c r="P17" s="15"/>
      <c r="Q17" s="15"/>
      <c r="R17" s="15"/>
      <c r="S17" s="15"/>
      <c r="T17" s="15"/>
      <c r="U17" s="15"/>
      <c r="V17" s="15"/>
      <c r="W17" s="15"/>
      <c r="X17" s="15"/>
      <c r="Y17" s="15"/>
      <c r="Z17" s="15"/>
    </row>
    <row r="18" spans="1:26" ht="30" customHeight="1" x14ac:dyDescent="0.3">
      <c r="A18" s="17" t="s">
        <v>258</v>
      </c>
      <c r="B18" s="28" t="s">
        <v>192</v>
      </c>
      <c r="C18" s="17" t="s">
        <v>268</v>
      </c>
      <c r="D18" s="17" t="s">
        <v>6</v>
      </c>
      <c r="E18" s="17">
        <v>2</v>
      </c>
      <c r="F18" s="21" t="s">
        <v>34</v>
      </c>
      <c r="G18" s="15"/>
      <c r="H18" s="15"/>
      <c r="I18" s="15"/>
      <c r="J18" s="15"/>
      <c r="K18" s="15"/>
      <c r="L18" s="15"/>
      <c r="M18" s="15"/>
      <c r="N18" s="15"/>
      <c r="O18" s="15"/>
      <c r="P18" s="15"/>
      <c r="Q18" s="15"/>
      <c r="R18" s="15"/>
      <c r="S18" s="15"/>
      <c r="T18" s="15"/>
      <c r="U18" s="15"/>
      <c r="V18" s="15"/>
      <c r="W18" s="15"/>
      <c r="X18" s="15"/>
      <c r="Y18" s="15"/>
      <c r="Z18" s="15"/>
    </row>
    <row r="19" spans="1:26" ht="30" customHeight="1" x14ac:dyDescent="0.3">
      <c r="A19" s="17" t="s">
        <v>258</v>
      </c>
      <c r="B19" s="30" t="s">
        <v>196</v>
      </c>
      <c r="C19" s="17" t="s">
        <v>269</v>
      </c>
      <c r="D19" s="17" t="s">
        <v>6</v>
      </c>
      <c r="E19" s="17">
        <v>4</v>
      </c>
      <c r="F19" s="21" t="s">
        <v>34</v>
      </c>
      <c r="G19" s="15"/>
      <c r="H19" s="15"/>
      <c r="I19" s="15"/>
      <c r="J19" s="15"/>
      <c r="K19" s="15"/>
      <c r="L19" s="15"/>
      <c r="M19" s="15"/>
      <c r="N19" s="15"/>
      <c r="O19" s="15"/>
      <c r="P19" s="15"/>
      <c r="Q19" s="15"/>
      <c r="R19" s="15"/>
      <c r="S19" s="15"/>
      <c r="T19" s="15"/>
      <c r="U19" s="15"/>
      <c r="V19" s="15"/>
      <c r="W19" s="15"/>
      <c r="X19" s="15"/>
      <c r="Y19" s="15"/>
      <c r="Z19" s="15"/>
    </row>
    <row r="20" spans="1:26" ht="30" customHeight="1" x14ac:dyDescent="0.3">
      <c r="A20" s="17" t="s">
        <v>258</v>
      </c>
      <c r="B20" s="31" t="s">
        <v>198</v>
      </c>
      <c r="C20" s="17" t="s">
        <v>270</v>
      </c>
      <c r="D20" s="17" t="s">
        <v>6</v>
      </c>
      <c r="E20" s="17">
        <v>2</v>
      </c>
      <c r="F20" s="21" t="s">
        <v>34</v>
      </c>
      <c r="G20" s="15"/>
      <c r="H20" s="15"/>
      <c r="I20" s="15"/>
      <c r="J20" s="15"/>
      <c r="K20" s="15"/>
      <c r="L20" s="15"/>
      <c r="M20" s="15"/>
      <c r="N20" s="15"/>
      <c r="O20" s="15"/>
      <c r="P20" s="15"/>
      <c r="Q20" s="15"/>
      <c r="R20" s="15"/>
      <c r="S20" s="15"/>
      <c r="T20" s="15"/>
      <c r="U20" s="15"/>
      <c r="V20" s="15"/>
      <c r="W20" s="15"/>
      <c r="X20" s="15"/>
      <c r="Y20" s="15"/>
      <c r="Z20" s="15"/>
    </row>
    <row r="21" spans="1:26" ht="30" customHeight="1" x14ac:dyDescent="0.3">
      <c r="A21" s="17" t="s">
        <v>258</v>
      </c>
      <c r="B21" s="32" t="s">
        <v>200</v>
      </c>
      <c r="C21" s="17" t="s">
        <v>271</v>
      </c>
      <c r="D21" s="17" t="s">
        <v>6</v>
      </c>
      <c r="E21" s="17">
        <v>1</v>
      </c>
      <c r="F21" s="21" t="s">
        <v>34</v>
      </c>
      <c r="G21" s="15"/>
      <c r="H21" s="15"/>
      <c r="I21" s="15"/>
      <c r="J21" s="15"/>
      <c r="K21" s="15"/>
      <c r="L21" s="15"/>
      <c r="M21" s="15"/>
      <c r="N21" s="15"/>
      <c r="O21" s="15"/>
      <c r="P21" s="15"/>
      <c r="Q21" s="15"/>
      <c r="R21" s="15"/>
      <c r="S21" s="15"/>
      <c r="T21" s="15"/>
      <c r="U21" s="15"/>
      <c r="V21" s="15"/>
      <c r="W21" s="15"/>
      <c r="X21" s="15"/>
      <c r="Y21" s="15"/>
      <c r="Z21" s="15"/>
    </row>
    <row r="22" spans="1:26" ht="30" customHeight="1" x14ac:dyDescent="0.3">
      <c r="A22" s="17" t="s">
        <v>260</v>
      </c>
      <c r="B22" s="28" t="s">
        <v>192</v>
      </c>
      <c r="C22" s="17" t="s">
        <v>272</v>
      </c>
      <c r="D22" s="17" t="s">
        <v>12</v>
      </c>
      <c r="E22" s="17">
        <v>2</v>
      </c>
      <c r="F22" s="21" t="s">
        <v>34</v>
      </c>
      <c r="G22" s="15"/>
      <c r="H22" s="15"/>
      <c r="I22" s="15"/>
      <c r="J22" s="15"/>
      <c r="K22" s="15"/>
      <c r="L22" s="15"/>
      <c r="M22" s="15"/>
      <c r="N22" s="15"/>
      <c r="O22" s="15"/>
      <c r="P22" s="15"/>
      <c r="Q22" s="15"/>
      <c r="R22" s="15"/>
      <c r="S22" s="15"/>
      <c r="T22" s="15"/>
      <c r="U22" s="15"/>
      <c r="V22" s="15"/>
      <c r="W22" s="15"/>
      <c r="X22" s="15"/>
      <c r="Y22" s="15"/>
      <c r="Z22" s="15"/>
    </row>
    <row r="23" spans="1:26" ht="30" customHeight="1" x14ac:dyDescent="0.3">
      <c r="A23" s="17" t="s">
        <v>260</v>
      </c>
      <c r="B23" s="29" t="s">
        <v>194</v>
      </c>
      <c r="C23" s="17" t="s">
        <v>273</v>
      </c>
      <c r="D23" s="17" t="s">
        <v>12</v>
      </c>
      <c r="E23" s="17">
        <v>1</v>
      </c>
      <c r="F23" s="21" t="s">
        <v>34</v>
      </c>
      <c r="G23" s="15"/>
      <c r="H23" s="15"/>
      <c r="I23" s="15"/>
      <c r="J23" s="15"/>
      <c r="K23" s="15"/>
      <c r="L23" s="15"/>
      <c r="M23" s="15"/>
      <c r="N23" s="15"/>
      <c r="O23" s="15"/>
      <c r="P23" s="15"/>
      <c r="Q23" s="15"/>
      <c r="R23" s="15"/>
      <c r="S23" s="15"/>
      <c r="T23" s="15"/>
      <c r="U23" s="15"/>
      <c r="V23" s="15"/>
      <c r="W23" s="15"/>
      <c r="X23" s="15"/>
      <c r="Y23" s="15"/>
      <c r="Z23" s="15"/>
    </row>
    <row r="24" spans="1:26" ht="30" customHeight="1" x14ac:dyDescent="0.3">
      <c r="A24" s="17" t="s">
        <v>260</v>
      </c>
      <c r="B24" s="30" t="s">
        <v>196</v>
      </c>
      <c r="C24" s="17" t="s">
        <v>274</v>
      </c>
      <c r="D24" s="17" t="s">
        <v>12</v>
      </c>
      <c r="E24" s="17">
        <v>3</v>
      </c>
      <c r="F24" s="21" t="s">
        <v>34</v>
      </c>
      <c r="G24" s="15"/>
      <c r="H24" s="15"/>
      <c r="I24" s="15"/>
      <c r="J24" s="15"/>
      <c r="K24" s="15"/>
      <c r="L24" s="15"/>
      <c r="M24" s="15"/>
      <c r="N24" s="15"/>
      <c r="O24" s="15"/>
      <c r="P24" s="15"/>
      <c r="Q24" s="15"/>
      <c r="R24" s="15"/>
      <c r="S24" s="15"/>
      <c r="T24" s="15"/>
      <c r="U24" s="15"/>
      <c r="V24" s="15"/>
      <c r="W24" s="15"/>
      <c r="X24" s="15"/>
      <c r="Y24" s="15"/>
      <c r="Z24" s="15"/>
    </row>
    <row r="25" spans="1:26" ht="30" customHeight="1" x14ac:dyDescent="0.3">
      <c r="A25" s="17" t="s">
        <v>260</v>
      </c>
      <c r="B25" s="31" t="s">
        <v>198</v>
      </c>
      <c r="C25" s="17" t="s">
        <v>275</v>
      </c>
      <c r="D25" s="17" t="s">
        <v>12</v>
      </c>
      <c r="E25" s="17">
        <v>3</v>
      </c>
      <c r="F25" s="21" t="s">
        <v>34</v>
      </c>
      <c r="G25" s="15"/>
      <c r="H25" s="15"/>
      <c r="I25" s="15"/>
      <c r="J25" s="15"/>
      <c r="K25" s="15"/>
      <c r="L25" s="15"/>
      <c r="M25" s="15"/>
      <c r="N25" s="15"/>
      <c r="O25" s="15"/>
      <c r="P25" s="15"/>
      <c r="Q25" s="15"/>
      <c r="R25" s="15"/>
      <c r="S25" s="15"/>
      <c r="T25" s="15"/>
      <c r="U25" s="15"/>
      <c r="V25" s="15"/>
      <c r="W25" s="15"/>
      <c r="X25" s="15"/>
      <c r="Y25" s="15"/>
      <c r="Z25" s="15"/>
    </row>
    <row r="26" spans="1:26" ht="30" customHeight="1" x14ac:dyDescent="0.3">
      <c r="A26" s="17" t="s">
        <v>260</v>
      </c>
      <c r="B26" s="32" t="s">
        <v>200</v>
      </c>
      <c r="C26" s="17" t="s">
        <v>276</v>
      </c>
      <c r="D26" s="17" t="s">
        <v>12</v>
      </c>
      <c r="E26" s="17">
        <v>1</v>
      </c>
      <c r="F26" s="21" t="s">
        <v>34</v>
      </c>
      <c r="G26" s="15"/>
      <c r="H26" s="15"/>
      <c r="I26" s="15"/>
      <c r="J26" s="15"/>
      <c r="K26" s="15"/>
      <c r="L26" s="15"/>
      <c r="M26" s="15"/>
      <c r="N26" s="15"/>
      <c r="O26" s="15"/>
      <c r="P26" s="15"/>
      <c r="Q26" s="15"/>
      <c r="R26" s="15"/>
      <c r="S26" s="15"/>
      <c r="T26" s="15"/>
      <c r="U26" s="15"/>
      <c r="V26" s="15"/>
      <c r="W26" s="15"/>
      <c r="X26" s="15"/>
      <c r="Y26" s="15"/>
      <c r="Z26" s="15"/>
    </row>
    <row r="27" spans="1:26" ht="30" customHeight="1" x14ac:dyDescent="0.3">
      <c r="A27" s="17" t="s">
        <v>262</v>
      </c>
      <c r="B27" s="28" t="s">
        <v>192</v>
      </c>
      <c r="C27" s="17" t="s">
        <v>277</v>
      </c>
      <c r="D27" s="17" t="s">
        <v>15</v>
      </c>
      <c r="E27" s="17">
        <v>1</v>
      </c>
      <c r="F27" s="21" t="s">
        <v>34</v>
      </c>
      <c r="G27" s="15"/>
      <c r="H27" s="15"/>
      <c r="I27" s="15"/>
      <c r="J27" s="15"/>
      <c r="K27" s="15"/>
      <c r="L27" s="15"/>
      <c r="M27" s="15"/>
      <c r="N27" s="15"/>
      <c r="O27" s="15"/>
      <c r="P27" s="15"/>
      <c r="Q27" s="15"/>
      <c r="R27" s="15"/>
      <c r="S27" s="15"/>
      <c r="T27" s="15"/>
      <c r="U27" s="15"/>
      <c r="V27" s="15"/>
      <c r="W27" s="15"/>
      <c r="X27" s="15"/>
      <c r="Y27" s="15"/>
      <c r="Z27" s="15"/>
    </row>
    <row r="28" spans="1:26" ht="30" customHeight="1" x14ac:dyDescent="0.3">
      <c r="A28" s="17" t="s">
        <v>262</v>
      </c>
      <c r="B28" s="29" t="s">
        <v>194</v>
      </c>
      <c r="C28" s="17" t="s">
        <v>278</v>
      </c>
      <c r="D28" s="17" t="s">
        <v>15</v>
      </c>
      <c r="E28" s="17">
        <v>1</v>
      </c>
      <c r="F28" s="21" t="s">
        <v>34</v>
      </c>
      <c r="G28" s="15"/>
      <c r="H28" s="15"/>
      <c r="I28" s="15"/>
      <c r="J28" s="15"/>
      <c r="K28" s="15"/>
      <c r="L28" s="15"/>
      <c r="M28" s="15"/>
      <c r="N28" s="15"/>
      <c r="O28" s="15"/>
      <c r="P28" s="15"/>
      <c r="Q28" s="15"/>
      <c r="R28" s="15"/>
      <c r="S28" s="15"/>
      <c r="T28" s="15"/>
      <c r="U28" s="15"/>
      <c r="V28" s="15"/>
      <c r="W28" s="15"/>
      <c r="X28" s="15"/>
      <c r="Y28" s="15"/>
      <c r="Z28" s="15"/>
    </row>
    <row r="29" spans="1:26" ht="30" customHeight="1" x14ac:dyDescent="0.3">
      <c r="A29" s="17" t="s">
        <v>262</v>
      </c>
      <c r="B29" s="30" t="s">
        <v>196</v>
      </c>
      <c r="C29" s="17" t="s">
        <v>279</v>
      </c>
      <c r="D29" s="17" t="s">
        <v>15</v>
      </c>
      <c r="E29" s="17">
        <v>2</v>
      </c>
      <c r="F29" s="21" t="s">
        <v>34</v>
      </c>
      <c r="G29" s="15"/>
      <c r="H29" s="15"/>
      <c r="I29" s="15"/>
      <c r="J29" s="15"/>
      <c r="K29" s="15"/>
      <c r="L29" s="15"/>
      <c r="M29" s="15"/>
      <c r="N29" s="15"/>
      <c r="O29" s="15"/>
      <c r="P29" s="15"/>
      <c r="Q29" s="15"/>
      <c r="R29" s="15"/>
      <c r="S29" s="15"/>
      <c r="T29" s="15"/>
      <c r="U29" s="15"/>
      <c r="V29" s="15"/>
      <c r="W29" s="15"/>
      <c r="X29" s="15"/>
      <c r="Y29" s="15"/>
      <c r="Z29" s="15"/>
    </row>
    <row r="30" spans="1:26" ht="30" customHeight="1" x14ac:dyDescent="0.3">
      <c r="A30" s="17" t="s">
        <v>262</v>
      </c>
      <c r="B30" s="31" t="s">
        <v>198</v>
      </c>
      <c r="C30" s="17" t="s">
        <v>280</v>
      </c>
      <c r="D30" s="17" t="s">
        <v>15</v>
      </c>
      <c r="E30" s="17">
        <v>2</v>
      </c>
      <c r="F30" s="21" t="s">
        <v>34</v>
      </c>
      <c r="G30" s="15"/>
      <c r="H30" s="15"/>
      <c r="I30" s="15"/>
      <c r="J30" s="15"/>
      <c r="K30" s="15"/>
      <c r="L30" s="15"/>
      <c r="M30" s="15"/>
      <c r="N30" s="15"/>
      <c r="O30" s="15"/>
      <c r="P30" s="15"/>
      <c r="Q30" s="15"/>
      <c r="R30" s="15"/>
      <c r="S30" s="15"/>
      <c r="T30" s="15"/>
      <c r="U30" s="15"/>
      <c r="V30" s="15"/>
      <c r="W30" s="15"/>
      <c r="X30" s="15"/>
      <c r="Y30" s="15"/>
      <c r="Z30" s="15"/>
    </row>
    <row r="31" spans="1:26" ht="30" customHeight="1" x14ac:dyDescent="0.3">
      <c r="A31" s="17" t="s">
        <v>262</v>
      </c>
      <c r="B31" s="32" t="s">
        <v>200</v>
      </c>
      <c r="C31" s="17" t="s">
        <v>281</v>
      </c>
      <c r="D31" s="17" t="s">
        <v>15</v>
      </c>
      <c r="E31" s="17">
        <v>1</v>
      </c>
      <c r="F31" s="21" t="s">
        <v>34</v>
      </c>
      <c r="G31" s="15"/>
      <c r="H31" s="15"/>
      <c r="I31" s="15"/>
      <c r="J31" s="15"/>
      <c r="K31" s="15"/>
      <c r="L31" s="15"/>
      <c r="M31" s="15"/>
      <c r="N31" s="15"/>
      <c r="O31" s="15"/>
      <c r="P31" s="15"/>
      <c r="Q31" s="15"/>
      <c r="R31" s="15"/>
      <c r="S31" s="15"/>
      <c r="T31" s="15"/>
      <c r="U31" s="15"/>
      <c r="V31" s="15"/>
      <c r="W31" s="15"/>
      <c r="X31" s="15"/>
      <c r="Y31" s="15"/>
      <c r="Z31" s="15"/>
    </row>
    <row r="32" spans="1:26" ht="30" customHeight="1" x14ac:dyDescent="0.3">
      <c r="A32" s="17" t="s">
        <v>264</v>
      </c>
      <c r="B32" s="28" t="s">
        <v>192</v>
      </c>
      <c r="C32" s="17" t="s">
        <v>282</v>
      </c>
      <c r="D32" s="17" t="s">
        <v>9</v>
      </c>
      <c r="E32" s="17">
        <v>2</v>
      </c>
      <c r="F32" s="34" t="s">
        <v>283</v>
      </c>
      <c r="G32" s="15"/>
      <c r="H32" s="15"/>
      <c r="I32" s="15"/>
      <c r="J32" s="15"/>
      <c r="K32" s="15"/>
      <c r="L32" s="15"/>
      <c r="M32" s="15"/>
      <c r="N32" s="15"/>
      <c r="O32" s="15"/>
      <c r="P32" s="15"/>
      <c r="Q32" s="15"/>
      <c r="R32" s="15"/>
      <c r="S32" s="15"/>
      <c r="T32" s="15"/>
      <c r="U32" s="15"/>
      <c r="V32" s="15"/>
      <c r="W32" s="15"/>
      <c r="X32" s="15"/>
      <c r="Y32" s="15"/>
      <c r="Z32" s="15"/>
    </row>
    <row r="33" spans="1:26" ht="30" customHeight="1" x14ac:dyDescent="0.3">
      <c r="A33" s="17" t="s">
        <v>264</v>
      </c>
      <c r="B33" s="30" t="s">
        <v>196</v>
      </c>
      <c r="C33" s="17" t="s">
        <v>284</v>
      </c>
      <c r="D33" s="17" t="s">
        <v>9</v>
      </c>
      <c r="E33" s="17">
        <v>5</v>
      </c>
      <c r="F33" s="34" t="s">
        <v>283</v>
      </c>
      <c r="G33" s="15"/>
      <c r="H33" s="15"/>
      <c r="I33" s="15"/>
      <c r="J33" s="15"/>
      <c r="K33" s="15"/>
      <c r="L33" s="15"/>
      <c r="M33" s="15"/>
      <c r="N33" s="15"/>
      <c r="O33" s="15"/>
      <c r="P33" s="15"/>
      <c r="Q33" s="15"/>
      <c r="R33" s="15"/>
      <c r="S33" s="15"/>
      <c r="T33" s="15"/>
      <c r="U33" s="15"/>
      <c r="V33" s="15"/>
      <c r="W33" s="15"/>
      <c r="X33" s="15"/>
      <c r="Y33" s="15"/>
      <c r="Z33" s="15"/>
    </row>
    <row r="34" spans="1:26" ht="30" customHeight="1" x14ac:dyDescent="0.3">
      <c r="A34" s="17" t="s">
        <v>264</v>
      </c>
      <c r="B34" s="31" t="s">
        <v>198</v>
      </c>
      <c r="C34" s="17" t="s">
        <v>285</v>
      </c>
      <c r="D34" s="17" t="s">
        <v>9</v>
      </c>
      <c r="E34" s="17">
        <v>3</v>
      </c>
      <c r="F34" s="34" t="s">
        <v>283</v>
      </c>
      <c r="G34" s="15"/>
      <c r="H34" s="15"/>
      <c r="I34" s="15"/>
      <c r="J34" s="15"/>
      <c r="K34" s="15"/>
      <c r="L34" s="15"/>
      <c r="M34" s="15"/>
      <c r="N34" s="15"/>
      <c r="O34" s="15"/>
      <c r="P34" s="15"/>
      <c r="Q34" s="15"/>
      <c r="R34" s="15"/>
      <c r="S34" s="15"/>
      <c r="T34" s="15"/>
      <c r="U34" s="15"/>
      <c r="V34" s="15"/>
      <c r="W34" s="15"/>
      <c r="X34" s="15"/>
      <c r="Y34" s="15"/>
      <c r="Z34" s="15"/>
    </row>
    <row r="35" spans="1:26" ht="30" customHeight="1" x14ac:dyDescent="0.3">
      <c r="A35" s="17" t="s">
        <v>264</v>
      </c>
      <c r="B35" s="32" t="s">
        <v>200</v>
      </c>
      <c r="C35" s="17" t="s">
        <v>286</v>
      </c>
      <c r="D35" s="17" t="s">
        <v>9</v>
      </c>
      <c r="E35" s="17">
        <v>1</v>
      </c>
      <c r="F35" s="34" t="s">
        <v>283</v>
      </c>
      <c r="G35" s="15"/>
      <c r="H35" s="15"/>
      <c r="I35" s="15"/>
      <c r="J35" s="15"/>
      <c r="K35" s="15"/>
      <c r="L35" s="15"/>
      <c r="M35" s="15"/>
      <c r="N35" s="15"/>
      <c r="O35" s="15"/>
      <c r="P35" s="15"/>
      <c r="Q35" s="15"/>
      <c r="R35" s="15"/>
      <c r="S35" s="15"/>
      <c r="T35" s="15"/>
      <c r="U35" s="15"/>
      <c r="V35" s="15"/>
      <c r="W35" s="15"/>
      <c r="X35" s="15"/>
      <c r="Y35" s="15"/>
      <c r="Z35" s="15"/>
    </row>
    <row r="36" spans="1:26" ht="15.75" customHeight="1"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ustomHeight="1" x14ac:dyDescent="0.3">
      <c r="A37" s="27" t="s">
        <v>223</v>
      </c>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ustomHeight="1" x14ac:dyDescent="0.3">
      <c r="A38" s="16" t="s">
        <v>174</v>
      </c>
      <c r="B38" s="16" t="s">
        <v>224</v>
      </c>
      <c r="C38" s="16" t="s">
        <v>225</v>
      </c>
      <c r="D38" s="16" t="s">
        <v>29</v>
      </c>
      <c r="E38" s="16" t="s">
        <v>191</v>
      </c>
      <c r="F38" s="16" t="s">
        <v>226</v>
      </c>
      <c r="G38" s="15"/>
      <c r="H38" s="15"/>
      <c r="I38" s="15"/>
      <c r="J38" s="15"/>
      <c r="K38" s="15"/>
      <c r="L38" s="15"/>
      <c r="M38" s="15"/>
      <c r="N38" s="15"/>
      <c r="O38" s="15"/>
      <c r="P38" s="15"/>
      <c r="Q38" s="15"/>
      <c r="R38" s="15"/>
      <c r="S38" s="15"/>
      <c r="T38" s="15"/>
      <c r="U38" s="15"/>
      <c r="V38" s="15"/>
      <c r="W38" s="15"/>
      <c r="X38" s="15"/>
      <c r="Y38" s="15"/>
      <c r="Z38" s="15"/>
    </row>
    <row r="39" spans="1:26" ht="27.75" customHeight="1" x14ac:dyDescent="0.3">
      <c r="A39" s="17" t="s">
        <v>258</v>
      </c>
      <c r="B39" s="33" t="s">
        <v>287</v>
      </c>
      <c r="C39" s="17" t="s">
        <v>288</v>
      </c>
      <c r="D39" s="17" t="s">
        <v>18</v>
      </c>
      <c r="E39" s="17">
        <v>1</v>
      </c>
      <c r="F39" s="34" t="s">
        <v>229</v>
      </c>
      <c r="G39" s="15"/>
      <c r="H39" s="15"/>
      <c r="I39" s="15"/>
      <c r="J39" s="15"/>
      <c r="K39" s="15"/>
      <c r="L39" s="15"/>
      <c r="M39" s="15"/>
      <c r="N39" s="15"/>
      <c r="O39" s="15"/>
      <c r="P39" s="15"/>
      <c r="Q39" s="15"/>
      <c r="R39" s="15"/>
      <c r="S39" s="15"/>
      <c r="T39" s="15"/>
      <c r="U39" s="15"/>
      <c r="V39" s="15"/>
      <c r="W39" s="15"/>
      <c r="X39" s="15"/>
      <c r="Y39" s="15"/>
      <c r="Z39" s="15"/>
    </row>
    <row r="40" spans="1:26" ht="27.75" customHeight="1" x14ac:dyDescent="0.3">
      <c r="A40" s="17" t="s">
        <v>258</v>
      </c>
      <c r="B40" s="33" t="s">
        <v>289</v>
      </c>
      <c r="C40" s="17" t="s">
        <v>290</v>
      </c>
      <c r="D40" s="17" t="s">
        <v>18</v>
      </c>
      <c r="E40" s="17">
        <v>1</v>
      </c>
      <c r="F40" s="34" t="s">
        <v>229</v>
      </c>
      <c r="G40" s="15"/>
      <c r="H40" s="15"/>
      <c r="I40" s="15"/>
      <c r="J40" s="15"/>
      <c r="K40" s="15"/>
      <c r="L40" s="15"/>
      <c r="M40" s="15"/>
      <c r="N40" s="15"/>
      <c r="O40" s="15"/>
      <c r="P40" s="15"/>
      <c r="Q40" s="15"/>
      <c r="R40" s="15"/>
      <c r="S40" s="15"/>
      <c r="T40" s="15"/>
      <c r="U40" s="15"/>
      <c r="V40" s="15"/>
      <c r="W40" s="15"/>
      <c r="X40" s="15"/>
      <c r="Y40" s="15"/>
      <c r="Z40" s="15"/>
    </row>
    <row r="41" spans="1:26" ht="27.75" customHeight="1" x14ac:dyDescent="0.3">
      <c r="A41" s="17" t="s">
        <v>260</v>
      </c>
      <c r="B41" s="33" t="s">
        <v>291</v>
      </c>
      <c r="C41" s="17" t="s">
        <v>292</v>
      </c>
      <c r="D41" s="17" t="s">
        <v>18</v>
      </c>
      <c r="E41" s="17">
        <v>1</v>
      </c>
      <c r="F41" s="34" t="s">
        <v>229</v>
      </c>
      <c r="G41" s="15"/>
      <c r="H41" s="15"/>
      <c r="I41" s="15"/>
      <c r="J41" s="15"/>
      <c r="K41" s="15"/>
      <c r="L41" s="15"/>
      <c r="M41" s="15"/>
      <c r="N41" s="15"/>
      <c r="O41" s="15"/>
      <c r="P41" s="15"/>
      <c r="Q41" s="15"/>
      <c r="R41" s="15"/>
      <c r="S41" s="15"/>
      <c r="T41" s="15"/>
      <c r="U41" s="15"/>
      <c r="V41" s="15"/>
      <c r="W41" s="15"/>
      <c r="X41" s="15"/>
      <c r="Y41" s="15"/>
      <c r="Z41" s="15"/>
    </row>
    <row r="42" spans="1:26" ht="27.75" customHeight="1" x14ac:dyDescent="0.3">
      <c r="A42" s="17" t="s">
        <v>260</v>
      </c>
      <c r="B42" s="33" t="s">
        <v>293</v>
      </c>
      <c r="C42" s="17" t="s">
        <v>294</v>
      </c>
      <c r="D42" s="17" t="s">
        <v>18</v>
      </c>
      <c r="E42" s="17">
        <v>1</v>
      </c>
      <c r="F42" s="34" t="s">
        <v>229</v>
      </c>
      <c r="G42" s="15"/>
      <c r="H42" s="15"/>
      <c r="I42" s="15"/>
      <c r="J42" s="15"/>
      <c r="K42" s="15"/>
      <c r="L42" s="15"/>
      <c r="M42" s="15"/>
      <c r="N42" s="15"/>
      <c r="O42" s="15"/>
      <c r="P42" s="15"/>
      <c r="Q42" s="15"/>
      <c r="R42" s="15"/>
      <c r="S42" s="15"/>
      <c r="T42" s="15"/>
      <c r="U42" s="15"/>
      <c r="V42" s="15"/>
      <c r="W42" s="15"/>
      <c r="X42" s="15"/>
      <c r="Y42" s="15"/>
      <c r="Z42" s="15"/>
    </row>
    <row r="43" spans="1:26" ht="27.75" customHeight="1" x14ac:dyDescent="0.3">
      <c r="A43" s="17" t="s">
        <v>262</v>
      </c>
      <c r="B43" s="33" t="s">
        <v>295</v>
      </c>
      <c r="C43" s="17" t="s">
        <v>296</v>
      </c>
      <c r="D43" s="17" t="s">
        <v>18</v>
      </c>
      <c r="E43" s="17">
        <v>1</v>
      </c>
      <c r="F43" s="34" t="s">
        <v>229</v>
      </c>
      <c r="G43" s="15"/>
      <c r="H43" s="15"/>
      <c r="I43" s="15"/>
      <c r="J43" s="15"/>
      <c r="K43" s="15"/>
      <c r="L43" s="15"/>
      <c r="M43" s="15"/>
      <c r="N43" s="15"/>
      <c r="O43" s="15"/>
      <c r="P43" s="15"/>
      <c r="Q43" s="15"/>
      <c r="R43" s="15"/>
      <c r="S43" s="15"/>
      <c r="T43" s="15"/>
      <c r="U43" s="15"/>
      <c r="V43" s="15"/>
      <c r="W43" s="15"/>
      <c r="X43" s="15"/>
      <c r="Y43" s="15"/>
      <c r="Z43" s="15"/>
    </row>
    <row r="44" spans="1:26" ht="27.75" customHeight="1" x14ac:dyDescent="0.3">
      <c r="A44" s="17" t="s">
        <v>262</v>
      </c>
      <c r="B44" s="33" t="s">
        <v>297</v>
      </c>
      <c r="C44" s="17" t="s">
        <v>298</v>
      </c>
      <c r="D44" s="17" t="s">
        <v>18</v>
      </c>
      <c r="E44" s="17">
        <v>1</v>
      </c>
      <c r="F44" s="34" t="s">
        <v>229</v>
      </c>
      <c r="G44" s="15"/>
      <c r="H44" s="15"/>
      <c r="I44" s="15"/>
      <c r="J44" s="15"/>
      <c r="K44" s="15"/>
      <c r="L44" s="15"/>
      <c r="M44" s="15"/>
      <c r="N44" s="15"/>
      <c r="O44" s="15"/>
      <c r="P44" s="15"/>
      <c r="Q44" s="15"/>
      <c r="R44" s="15"/>
      <c r="S44" s="15"/>
      <c r="T44" s="15"/>
      <c r="U44" s="15"/>
      <c r="V44" s="15"/>
      <c r="W44" s="15"/>
      <c r="X44" s="15"/>
      <c r="Y44" s="15"/>
      <c r="Z44" s="15"/>
    </row>
    <row r="45" spans="1:26" ht="27.75" customHeight="1" x14ac:dyDescent="0.3">
      <c r="A45" s="17" t="s">
        <v>264</v>
      </c>
      <c r="B45" s="33" t="s">
        <v>299</v>
      </c>
      <c r="C45" s="17" t="s">
        <v>300</v>
      </c>
      <c r="D45" s="17" t="s">
        <v>18</v>
      </c>
      <c r="E45" s="17">
        <v>1</v>
      </c>
      <c r="F45" s="34" t="s">
        <v>229</v>
      </c>
      <c r="G45" s="15"/>
      <c r="H45" s="15"/>
      <c r="I45" s="15"/>
      <c r="J45" s="15"/>
      <c r="K45" s="15"/>
      <c r="L45" s="15"/>
      <c r="M45" s="15"/>
      <c r="N45" s="15"/>
      <c r="O45" s="15"/>
      <c r="P45" s="15"/>
      <c r="Q45" s="15"/>
      <c r="R45" s="15"/>
      <c r="S45" s="15"/>
      <c r="T45" s="15"/>
      <c r="U45" s="15"/>
      <c r="V45" s="15"/>
      <c r="W45" s="15"/>
      <c r="X45" s="15"/>
      <c r="Y45" s="15"/>
      <c r="Z45" s="15"/>
    </row>
    <row r="46" spans="1:26" ht="27.75" customHeight="1" x14ac:dyDescent="0.3">
      <c r="A46" s="17" t="s">
        <v>264</v>
      </c>
      <c r="B46" s="33" t="s">
        <v>301</v>
      </c>
      <c r="C46" s="17" t="s">
        <v>302</v>
      </c>
      <c r="D46" s="17" t="s">
        <v>18</v>
      </c>
      <c r="E46" s="17">
        <v>1</v>
      </c>
      <c r="F46" s="34" t="s">
        <v>229</v>
      </c>
      <c r="G46" s="15"/>
      <c r="H46" s="15"/>
      <c r="I46" s="15"/>
      <c r="J46" s="15"/>
      <c r="K46" s="15"/>
      <c r="L46" s="15"/>
      <c r="M46" s="15"/>
      <c r="N46" s="15"/>
      <c r="O46" s="15"/>
      <c r="P46" s="15"/>
      <c r="Q46" s="15"/>
      <c r="R46" s="15"/>
      <c r="S46" s="15"/>
      <c r="T46" s="15"/>
      <c r="U46" s="15"/>
      <c r="V46" s="15"/>
      <c r="W46" s="15"/>
      <c r="X46" s="15"/>
      <c r="Y46" s="15"/>
      <c r="Z46" s="15"/>
    </row>
    <row r="47" spans="1:26" ht="15.75" customHeight="1"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ustomHeight="1" x14ac:dyDescent="0.3">
      <c r="A48" s="27" t="s">
        <v>248</v>
      </c>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ustomHeight="1" x14ac:dyDescent="0.3">
      <c r="A49" s="16" t="s">
        <v>190</v>
      </c>
      <c r="B49" s="16" t="s">
        <v>29</v>
      </c>
      <c r="C49" s="16" t="s">
        <v>191</v>
      </c>
      <c r="D49" s="16" t="s">
        <v>27</v>
      </c>
      <c r="E49" s="15"/>
      <c r="F49" s="15"/>
      <c r="G49" s="15"/>
      <c r="H49" s="15"/>
      <c r="I49" s="15"/>
      <c r="J49" s="15"/>
      <c r="K49" s="15"/>
      <c r="L49" s="15"/>
      <c r="M49" s="15"/>
      <c r="N49" s="15"/>
      <c r="O49" s="15"/>
      <c r="P49" s="15"/>
      <c r="Q49" s="15"/>
      <c r="R49" s="15"/>
      <c r="S49" s="15"/>
      <c r="T49" s="15"/>
      <c r="U49" s="15"/>
      <c r="V49" s="15"/>
      <c r="W49" s="15"/>
      <c r="X49" s="15"/>
      <c r="Y49" s="15"/>
      <c r="Z49" s="15"/>
    </row>
    <row r="50" spans="1:26" ht="15.75" customHeight="1" x14ac:dyDescent="0.3">
      <c r="A50" s="17" t="s">
        <v>303</v>
      </c>
      <c r="B50" s="17" t="s">
        <v>12</v>
      </c>
      <c r="C50" s="17">
        <v>2</v>
      </c>
      <c r="D50" s="21" t="s">
        <v>34</v>
      </c>
      <c r="E50" s="15"/>
      <c r="F50" s="15"/>
      <c r="G50" s="15"/>
      <c r="H50" s="15"/>
      <c r="I50" s="15"/>
      <c r="J50" s="15"/>
      <c r="K50" s="15"/>
      <c r="L50" s="15"/>
      <c r="M50" s="15"/>
      <c r="N50" s="15"/>
      <c r="O50" s="15"/>
      <c r="P50" s="15"/>
      <c r="Q50" s="15"/>
      <c r="R50" s="15"/>
      <c r="S50" s="15"/>
      <c r="T50" s="15"/>
      <c r="U50" s="15"/>
      <c r="V50" s="15"/>
      <c r="W50" s="15"/>
      <c r="X50" s="15"/>
      <c r="Y50" s="15"/>
      <c r="Z50" s="15"/>
    </row>
    <row r="51" spans="1:26" ht="15.75" customHeight="1" x14ac:dyDescent="0.3">
      <c r="A51" s="17" t="s">
        <v>250</v>
      </c>
      <c r="B51" s="17" t="s">
        <v>12</v>
      </c>
      <c r="C51" s="17">
        <v>3</v>
      </c>
      <c r="D51" s="21" t="s">
        <v>34</v>
      </c>
      <c r="E51" s="15"/>
      <c r="F51" s="15"/>
      <c r="G51" s="15"/>
      <c r="H51" s="15"/>
      <c r="I51" s="15"/>
      <c r="J51" s="15"/>
      <c r="K51" s="15"/>
      <c r="L51" s="15"/>
      <c r="M51" s="15"/>
      <c r="N51" s="15"/>
      <c r="O51" s="15"/>
      <c r="P51" s="15"/>
      <c r="Q51" s="15"/>
      <c r="R51" s="15"/>
      <c r="S51" s="15"/>
      <c r="T51" s="15"/>
      <c r="U51" s="15"/>
      <c r="V51" s="15"/>
      <c r="W51" s="15"/>
      <c r="X51" s="15"/>
      <c r="Y51" s="15"/>
      <c r="Z51" s="15"/>
    </row>
    <row r="52" spans="1:26" ht="15.75" customHeight="1" x14ac:dyDescent="0.3">
      <c r="A52" s="17" t="s">
        <v>304</v>
      </c>
      <c r="B52" s="17" t="s">
        <v>12</v>
      </c>
      <c r="C52" s="17">
        <v>2</v>
      </c>
      <c r="D52" s="21" t="s">
        <v>34</v>
      </c>
      <c r="E52" s="15"/>
      <c r="F52" s="15"/>
      <c r="G52" s="15"/>
      <c r="H52" s="15"/>
      <c r="I52" s="15"/>
      <c r="J52" s="15"/>
      <c r="K52" s="15"/>
      <c r="L52" s="15"/>
      <c r="M52" s="15"/>
      <c r="N52" s="15"/>
      <c r="O52" s="15"/>
      <c r="P52" s="15"/>
      <c r="Q52" s="15"/>
      <c r="R52" s="15"/>
      <c r="S52" s="15"/>
      <c r="T52" s="15"/>
      <c r="U52" s="15"/>
      <c r="V52" s="15"/>
      <c r="W52" s="15"/>
      <c r="X52" s="15"/>
      <c r="Y52" s="15"/>
      <c r="Z52" s="15"/>
    </row>
    <row r="53" spans="1:26" ht="15.75" customHeight="1"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ustomHeight="1" x14ac:dyDescent="0.3">
      <c r="A54" s="35"/>
      <c r="B54" s="36" t="s">
        <v>252</v>
      </c>
      <c r="C54" s="35"/>
      <c r="D54" s="35"/>
      <c r="E54" s="36">
        <f>SUM(E18:E35)</f>
        <v>37</v>
      </c>
      <c r="F54" s="15"/>
      <c r="G54" s="15"/>
      <c r="H54" s="15"/>
      <c r="I54" s="15"/>
      <c r="J54" s="15"/>
      <c r="K54" s="15"/>
      <c r="L54" s="15"/>
      <c r="M54" s="15"/>
      <c r="N54" s="15"/>
      <c r="O54" s="15"/>
      <c r="P54" s="15"/>
      <c r="Q54" s="15"/>
      <c r="R54" s="15"/>
      <c r="S54" s="15"/>
      <c r="T54" s="15"/>
      <c r="U54" s="15"/>
      <c r="V54" s="15"/>
      <c r="W54" s="15"/>
      <c r="X54" s="15"/>
      <c r="Y54" s="15"/>
      <c r="Z54" s="15"/>
    </row>
    <row r="55" spans="1:26" ht="15.75" customHeight="1" x14ac:dyDescent="0.3">
      <c r="A55" s="35"/>
      <c r="B55" s="36" t="s">
        <v>253</v>
      </c>
      <c r="C55" s="35"/>
      <c r="D55" s="35"/>
      <c r="E55" s="36">
        <f>SUM(E39:E46)</f>
        <v>8</v>
      </c>
      <c r="F55" s="15"/>
      <c r="G55" s="15"/>
      <c r="H55" s="15"/>
      <c r="I55" s="15"/>
      <c r="J55" s="15"/>
      <c r="K55" s="15"/>
      <c r="L55" s="15"/>
      <c r="M55" s="15"/>
      <c r="N55" s="15"/>
      <c r="O55" s="15"/>
      <c r="P55" s="15"/>
      <c r="Q55" s="15"/>
      <c r="R55" s="15"/>
      <c r="S55" s="15"/>
      <c r="T55" s="15"/>
      <c r="U55" s="15"/>
      <c r="V55" s="15"/>
      <c r="W55" s="15"/>
      <c r="X55" s="15"/>
      <c r="Y55" s="15"/>
      <c r="Z55" s="15"/>
    </row>
    <row r="56" spans="1:26" ht="15.75" customHeight="1" x14ac:dyDescent="0.3">
      <c r="A56" s="36" t="s">
        <v>254</v>
      </c>
      <c r="B56" s="35"/>
      <c r="C56" s="36">
        <f>SUM(C50:C52)</f>
        <v>7</v>
      </c>
      <c r="D56" s="35"/>
      <c r="E56" s="15"/>
      <c r="F56" s="15"/>
      <c r="G56" s="15"/>
      <c r="H56" s="15"/>
      <c r="I56" s="15"/>
      <c r="J56" s="15"/>
      <c r="K56" s="15"/>
      <c r="L56" s="15"/>
      <c r="M56" s="15"/>
      <c r="N56" s="15"/>
      <c r="O56" s="15"/>
      <c r="P56" s="15"/>
      <c r="Q56" s="15"/>
      <c r="R56" s="15"/>
      <c r="S56" s="15"/>
      <c r="T56" s="15"/>
      <c r="U56" s="15"/>
      <c r="V56" s="15"/>
      <c r="W56" s="15"/>
      <c r="X56" s="15"/>
      <c r="Y56" s="15"/>
      <c r="Z56" s="15"/>
    </row>
    <row r="57" spans="1:26" ht="15.75" customHeight="1"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ustomHeight="1"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ustomHeight="1"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ustomHeight="1"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ustomHeight="1"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ustomHeight="1"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ustomHeight="1"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customHeight="1"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customHeight="1"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customHeight="1"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customHeight="1"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customHeight="1"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customHeight="1"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customHeight="1"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customHeight="1"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customHeight="1"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customHeight="1"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customHeight="1"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75" customHeight="1"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75" customHeight="1"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75" customHeight="1"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75" customHeight="1"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75" customHeigh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75" customHeigh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75" customHeigh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75" customHeigh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75" customHeigh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75" customHeigh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75" customHeight="1"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75" customHeight="1"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75" customHeight="1"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75" customHeight="1"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75" customHeight="1"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75" customHeight="1"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75" customHeight="1"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75" customHeight="1"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75" customHeight="1"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75" customHeight="1"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75" customHeight="1"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75" customHeight="1"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75" customHeight="1"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75" customHeight="1"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6" ht="15.75" customHeight="1" x14ac:dyDescent="0.3">
      <c r="A257" s="19"/>
      <c r="B257" s="19"/>
      <c r="C257" s="19"/>
      <c r="D257" s="19"/>
      <c r="E257" s="19"/>
      <c r="F257" s="19"/>
    </row>
    <row r="258" spans="1:6" ht="15.75" customHeight="1" x14ac:dyDescent="0.3">
      <c r="A258" s="19"/>
      <c r="B258" s="19"/>
      <c r="C258" s="19"/>
      <c r="D258" s="19"/>
      <c r="E258" s="19"/>
      <c r="F258" s="19"/>
    </row>
    <row r="259" spans="1:6" ht="15.75" customHeight="1" x14ac:dyDescent="0.3">
      <c r="A259" s="19"/>
      <c r="B259" s="19"/>
      <c r="C259" s="19"/>
      <c r="D259" s="19"/>
      <c r="E259" s="19"/>
      <c r="F259" s="19"/>
    </row>
    <row r="260" spans="1:6" ht="15.75" customHeight="1" x14ac:dyDescent="0.3">
      <c r="A260" s="19"/>
      <c r="B260" s="19"/>
      <c r="C260" s="19"/>
      <c r="D260" s="19"/>
      <c r="E260" s="19"/>
      <c r="F260" s="19"/>
    </row>
    <row r="261" spans="1:6" ht="15.75" customHeight="1" x14ac:dyDescent="0.3">
      <c r="A261" s="19"/>
      <c r="B261" s="19"/>
      <c r="C261" s="19"/>
      <c r="D261" s="19"/>
      <c r="E261" s="19"/>
      <c r="F261" s="19"/>
    </row>
    <row r="262" spans="1:6" ht="15.75" customHeight="1" x14ac:dyDescent="0.3">
      <c r="A262" s="19"/>
      <c r="B262" s="19"/>
      <c r="C262" s="19"/>
      <c r="D262" s="19"/>
      <c r="E262" s="19"/>
      <c r="F262" s="19"/>
    </row>
    <row r="263" spans="1:6" ht="15.75" customHeight="1" x14ac:dyDescent="0.3">
      <c r="A263" s="19"/>
      <c r="B263" s="19"/>
      <c r="C263" s="19"/>
      <c r="D263" s="19"/>
      <c r="E263" s="19"/>
      <c r="F263" s="19"/>
    </row>
    <row r="264" spans="1:6" ht="15.75" customHeight="1" x14ac:dyDescent="0.3">
      <c r="A264" s="19"/>
      <c r="B264" s="19"/>
      <c r="C264" s="19"/>
      <c r="D264" s="19"/>
      <c r="E264" s="19"/>
      <c r="F264" s="19"/>
    </row>
    <row r="265" spans="1:6" ht="15.75" customHeight="1" x14ac:dyDescent="0.3">
      <c r="A265" s="19"/>
      <c r="B265" s="19"/>
      <c r="C265" s="19"/>
      <c r="D265" s="19"/>
      <c r="E265" s="19"/>
      <c r="F265" s="19"/>
    </row>
    <row r="266" spans="1:6" ht="15.75" customHeight="1" x14ac:dyDescent="0.3">
      <c r="A266" s="19"/>
      <c r="B266" s="19"/>
      <c r="C266" s="19"/>
      <c r="D266" s="19"/>
      <c r="E266" s="19"/>
      <c r="F266" s="19"/>
    </row>
    <row r="267" spans="1:6" ht="15.75" customHeight="1" x14ac:dyDescent="0.3">
      <c r="A267" s="19"/>
      <c r="B267" s="19"/>
      <c r="C267" s="19"/>
      <c r="D267" s="19"/>
      <c r="E267" s="19"/>
      <c r="F267" s="19"/>
    </row>
    <row r="268" spans="1:6" ht="15.75" customHeight="1" x14ac:dyDescent="0.3">
      <c r="A268" s="19"/>
      <c r="B268" s="19"/>
      <c r="C268" s="19"/>
      <c r="D268" s="19"/>
      <c r="E268" s="19"/>
      <c r="F268" s="19"/>
    </row>
    <row r="269" spans="1:6" ht="15.75" customHeight="1" x14ac:dyDescent="0.3">
      <c r="A269" s="19"/>
      <c r="B269" s="19"/>
      <c r="C269" s="19"/>
      <c r="D269" s="19"/>
      <c r="E269" s="19"/>
      <c r="F269" s="19"/>
    </row>
    <row r="270" spans="1:6" ht="15.75" customHeight="1" x14ac:dyDescent="0.3">
      <c r="A270" s="19"/>
      <c r="B270" s="19"/>
      <c r="C270" s="19"/>
      <c r="D270" s="19"/>
      <c r="E270" s="19"/>
      <c r="F270" s="19"/>
    </row>
    <row r="271" spans="1:6" ht="15.75" customHeight="1" x14ac:dyDescent="0.3">
      <c r="A271" s="19"/>
      <c r="B271" s="19"/>
      <c r="C271" s="19"/>
      <c r="D271" s="19"/>
      <c r="E271" s="19"/>
      <c r="F271" s="19"/>
    </row>
    <row r="272" spans="1:6" ht="15.75" customHeight="1" x14ac:dyDescent="0.3">
      <c r="A272" s="19"/>
      <c r="B272" s="19"/>
      <c r="C272" s="19"/>
      <c r="D272" s="19"/>
      <c r="E272" s="19"/>
      <c r="F272" s="19"/>
    </row>
    <row r="273" spans="1:6" ht="15.75" customHeight="1" x14ac:dyDescent="0.3">
      <c r="A273" s="19"/>
      <c r="B273" s="19"/>
      <c r="C273" s="19"/>
      <c r="D273" s="19"/>
      <c r="E273" s="19"/>
      <c r="F273" s="19"/>
    </row>
    <row r="274" spans="1:6" ht="15.75" customHeight="1" x14ac:dyDescent="0.3">
      <c r="A274" s="19"/>
      <c r="B274" s="19"/>
      <c r="C274" s="19"/>
      <c r="D274" s="19"/>
      <c r="E274" s="19"/>
      <c r="F274" s="19"/>
    </row>
    <row r="275" spans="1:6" ht="15.75" customHeight="1" x14ac:dyDescent="0.3">
      <c r="A275" s="19"/>
      <c r="B275" s="19"/>
      <c r="C275" s="19"/>
      <c r="D275" s="19"/>
      <c r="E275" s="19"/>
      <c r="F275" s="19"/>
    </row>
    <row r="276" spans="1:6" ht="15.75" customHeight="1" x14ac:dyDescent="0.3">
      <c r="A276" s="19"/>
      <c r="B276" s="19"/>
      <c r="C276" s="19"/>
      <c r="D276" s="19"/>
      <c r="E276" s="19"/>
      <c r="F276" s="19"/>
    </row>
    <row r="277" spans="1:6" ht="15.75" customHeight="1" x14ac:dyDescent="0.3">
      <c r="A277" s="19"/>
      <c r="B277" s="19"/>
      <c r="C277" s="19"/>
      <c r="D277" s="19"/>
      <c r="E277" s="19"/>
      <c r="F277" s="19"/>
    </row>
    <row r="278" spans="1:6" ht="15.75" customHeight="1" x14ac:dyDescent="0.3">
      <c r="A278" s="19"/>
      <c r="B278" s="19"/>
      <c r="C278" s="19"/>
      <c r="D278" s="19"/>
      <c r="E278" s="19"/>
      <c r="F278" s="19"/>
    </row>
    <row r="279" spans="1:6" ht="15.75" customHeight="1" x14ac:dyDescent="0.3">
      <c r="A279" s="19"/>
      <c r="B279" s="19"/>
      <c r="C279" s="19"/>
      <c r="D279" s="19"/>
      <c r="E279" s="19"/>
      <c r="F279" s="19"/>
    </row>
    <row r="280" spans="1:6" ht="15.75" customHeight="1" x14ac:dyDescent="0.3">
      <c r="A280" s="19"/>
      <c r="B280" s="19"/>
      <c r="C280" s="19"/>
      <c r="D280" s="19"/>
      <c r="E280" s="19"/>
      <c r="F280" s="19"/>
    </row>
    <row r="281" spans="1:6" ht="15.75" customHeight="1" x14ac:dyDescent="0.3">
      <c r="A281" s="19"/>
      <c r="B281" s="19"/>
      <c r="C281" s="19"/>
      <c r="D281" s="19"/>
      <c r="E281" s="19"/>
      <c r="F281" s="19"/>
    </row>
    <row r="282" spans="1:6" ht="15.75" customHeight="1" x14ac:dyDescent="0.3">
      <c r="A282" s="19"/>
      <c r="B282" s="19"/>
      <c r="C282" s="19"/>
      <c r="D282" s="19"/>
      <c r="E282" s="19"/>
      <c r="F282" s="19"/>
    </row>
    <row r="283" spans="1:6" ht="15.75" customHeight="1" x14ac:dyDescent="0.3">
      <c r="A283" s="19"/>
      <c r="B283" s="19"/>
      <c r="C283" s="19"/>
      <c r="D283" s="19"/>
      <c r="E283" s="19"/>
      <c r="F283" s="19"/>
    </row>
    <row r="284" spans="1:6" ht="15.75" customHeight="1" x14ac:dyDescent="0.3">
      <c r="A284" s="19"/>
      <c r="B284" s="19"/>
      <c r="C284" s="19"/>
      <c r="D284" s="19"/>
      <c r="E284" s="19"/>
      <c r="F284" s="19"/>
    </row>
    <row r="285" spans="1:6" ht="15.75" customHeight="1" x14ac:dyDescent="0.3">
      <c r="A285" s="19"/>
      <c r="B285" s="19"/>
      <c r="C285" s="19"/>
      <c r="D285" s="19"/>
      <c r="E285" s="19"/>
      <c r="F285" s="19"/>
    </row>
    <row r="286" spans="1:6" ht="15.75" customHeight="1" x14ac:dyDescent="0.3">
      <c r="A286" s="19"/>
      <c r="B286" s="19"/>
      <c r="C286" s="19"/>
      <c r="D286" s="19"/>
      <c r="E286" s="19"/>
      <c r="F286" s="19"/>
    </row>
    <row r="287" spans="1:6" ht="15.75" customHeight="1" x14ac:dyDescent="0.3">
      <c r="A287" s="19"/>
      <c r="B287" s="19"/>
      <c r="C287" s="19"/>
      <c r="D287" s="19"/>
      <c r="E287" s="19"/>
      <c r="F287" s="19"/>
    </row>
    <row r="288" spans="1:6" ht="15.75" customHeight="1" x14ac:dyDescent="0.3">
      <c r="A288" s="19"/>
      <c r="B288" s="19"/>
      <c r="C288" s="19"/>
      <c r="D288" s="19"/>
      <c r="E288" s="19"/>
      <c r="F288" s="19"/>
    </row>
    <row r="289" spans="1:6" ht="15.75" customHeight="1" x14ac:dyDescent="0.3">
      <c r="A289" s="19"/>
      <c r="B289" s="19"/>
      <c r="C289" s="19"/>
      <c r="D289" s="19"/>
      <c r="E289" s="19"/>
      <c r="F289" s="19"/>
    </row>
    <row r="290" spans="1:6" ht="15.75" customHeight="1" x14ac:dyDescent="0.3">
      <c r="A290" s="19"/>
      <c r="B290" s="19"/>
      <c r="C290" s="19"/>
      <c r="D290" s="19"/>
      <c r="E290" s="19"/>
      <c r="F290" s="19"/>
    </row>
    <row r="291" spans="1:6" ht="15.75" customHeight="1" x14ac:dyDescent="0.3">
      <c r="A291" s="19"/>
      <c r="B291" s="19"/>
      <c r="C291" s="19"/>
      <c r="D291" s="19"/>
      <c r="E291" s="19"/>
      <c r="F291" s="19"/>
    </row>
    <row r="292" spans="1:6" ht="15.75" customHeight="1" x14ac:dyDescent="0.3">
      <c r="A292" s="19"/>
      <c r="B292" s="19"/>
      <c r="C292" s="19"/>
      <c r="D292" s="19"/>
      <c r="E292" s="19"/>
      <c r="F292" s="19"/>
    </row>
    <row r="293" spans="1:6" ht="15.75" customHeight="1" x14ac:dyDescent="0.3">
      <c r="A293" s="19"/>
      <c r="B293" s="19"/>
      <c r="C293" s="19"/>
      <c r="D293" s="19"/>
      <c r="E293" s="19"/>
      <c r="F293" s="19"/>
    </row>
    <row r="294" spans="1:6" ht="15.75" customHeight="1" x14ac:dyDescent="0.3">
      <c r="A294" s="19"/>
      <c r="B294" s="19"/>
      <c r="C294" s="19"/>
      <c r="D294" s="19"/>
      <c r="E294" s="19"/>
      <c r="F294" s="19"/>
    </row>
    <row r="295" spans="1:6" ht="15.75" customHeight="1" x14ac:dyDescent="0.3">
      <c r="A295" s="19"/>
      <c r="B295" s="19"/>
      <c r="C295" s="19"/>
      <c r="D295" s="19"/>
      <c r="E295" s="19"/>
      <c r="F295" s="19"/>
    </row>
    <row r="296" spans="1:6" ht="15.75" customHeight="1" x14ac:dyDescent="0.3">
      <c r="A296" s="19"/>
      <c r="B296" s="19"/>
      <c r="C296" s="19"/>
      <c r="D296" s="19"/>
      <c r="E296" s="19"/>
      <c r="F296" s="19"/>
    </row>
    <row r="297" spans="1:6" ht="15.75" customHeight="1" x14ac:dyDescent="0.3">
      <c r="A297" s="19"/>
      <c r="B297" s="19"/>
      <c r="C297" s="19"/>
      <c r="D297" s="19"/>
      <c r="E297" s="19"/>
      <c r="F297" s="19"/>
    </row>
    <row r="298" spans="1:6" ht="15.75" customHeight="1" x14ac:dyDescent="0.3">
      <c r="A298" s="19"/>
      <c r="B298" s="19"/>
      <c r="C298" s="19"/>
      <c r="D298" s="19"/>
      <c r="E298" s="19"/>
      <c r="F298" s="19"/>
    </row>
    <row r="299" spans="1:6" ht="15.75" customHeight="1" x14ac:dyDescent="0.3">
      <c r="A299" s="19"/>
      <c r="B299" s="19"/>
      <c r="C299" s="19"/>
      <c r="D299" s="19"/>
      <c r="E299" s="19"/>
      <c r="F299" s="19"/>
    </row>
    <row r="300" spans="1:6" ht="15.75" customHeight="1" x14ac:dyDescent="0.3">
      <c r="A300" s="19"/>
      <c r="B300" s="19"/>
      <c r="C300" s="19"/>
      <c r="D300" s="19"/>
      <c r="E300" s="19"/>
      <c r="F300" s="19"/>
    </row>
    <row r="301" spans="1:6" ht="15.75" customHeight="1" x14ac:dyDescent="0.3">
      <c r="A301" s="19"/>
      <c r="B301" s="19"/>
      <c r="C301" s="19"/>
      <c r="D301" s="19"/>
      <c r="E301" s="19"/>
      <c r="F301" s="19"/>
    </row>
    <row r="302" spans="1:6" ht="15.75" customHeight="1" x14ac:dyDescent="0.3">
      <c r="A302" s="19"/>
      <c r="B302" s="19"/>
      <c r="C302" s="19"/>
      <c r="D302" s="19"/>
      <c r="E302" s="19"/>
      <c r="F302" s="19"/>
    </row>
    <row r="303" spans="1:6" ht="15.75" customHeight="1" x14ac:dyDescent="0.3">
      <c r="A303" s="19"/>
      <c r="B303" s="19"/>
      <c r="C303" s="19"/>
      <c r="D303" s="19"/>
      <c r="E303" s="19"/>
      <c r="F303" s="19"/>
    </row>
    <row r="304" spans="1:6" ht="15.75" customHeight="1" x14ac:dyDescent="0.3">
      <c r="A304" s="19"/>
      <c r="B304" s="19"/>
      <c r="C304" s="19"/>
      <c r="D304" s="19"/>
      <c r="E304" s="19"/>
      <c r="F304" s="19"/>
    </row>
    <row r="305" spans="1:6" ht="15.75" customHeight="1" x14ac:dyDescent="0.3">
      <c r="A305" s="19"/>
      <c r="B305" s="19"/>
      <c r="C305" s="19"/>
      <c r="D305" s="19"/>
      <c r="E305" s="19"/>
      <c r="F305" s="19"/>
    </row>
    <row r="306" spans="1:6" ht="15.75" customHeight="1" x14ac:dyDescent="0.3">
      <c r="A306" s="19"/>
      <c r="B306" s="19"/>
      <c r="C306" s="19"/>
      <c r="D306" s="19"/>
      <c r="E306" s="19"/>
      <c r="F306" s="19"/>
    </row>
    <row r="307" spans="1:6" ht="15.75" customHeight="1" x14ac:dyDescent="0.3">
      <c r="A307" s="19"/>
      <c r="B307" s="19"/>
      <c r="C307" s="19"/>
      <c r="D307" s="19"/>
      <c r="E307" s="19"/>
      <c r="F307" s="19"/>
    </row>
    <row r="308" spans="1:6" ht="15.75" customHeight="1" x14ac:dyDescent="0.3">
      <c r="A308" s="19"/>
      <c r="B308" s="19"/>
      <c r="C308" s="19"/>
      <c r="D308" s="19"/>
      <c r="E308" s="19"/>
      <c r="F308" s="19"/>
    </row>
    <row r="309" spans="1:6" ht="15.75" customHeight="1" x14ac:dyDescent="0.3">
      <c r="A309" s="19"/>
      <c r="B309" s="19"/>
      <c r="C309" s="19"/>
      <c r="D309" s="19"/>
      <c r="E309" s="19"/>
      <c r="F309" s="19"/>
    </row>
    <row r="310" spans="1:6" ht="15.75" customHeight="1" x14ac:dyDescent="0.3">
      <c r="A310" s="19"/>
      <c r="B310" s="19"/>
      <c r="C310" s="19"/>
      <c r="D310" s="19"/>
      <c r="E310" s="19"/>
      <c r="F310" s="19"/>
    </row>
    <row r="311" spans="1:6" ht="15.75" customHeight="1" x14ac:dyDescent="0.3">
      <c r="A311" s="19"/>
      <c r="B311" s="19"/>
      <c r="C311" s="19"/>
      <c r="D311" s="19"/>
      <c r="E311" s="19"/>
      <c r="F311" s="19"/>
    </row>
    <row r="312" spans="1:6" ht="15.75" customHeight="1" x14ac:dyDescent="0.3">
      <c r="A312" s="19"/>
      <c r="B312" s="19"/>
      <c r="C312" s="19"/>
      <c r="D312" s="19"/>
      <c r="E312" s="19"/>
      <c r="F312" s="19"/>
    </row>
    <row r="313" spans="1:6" ht="15.75" customHeight="1" x14ac:dyDescent="0.3">
      <c r="A313" s="19"/>
      <c r="B313" s="19"/>
      <c r="C313" s="19"/>
      <c r="D313" s="19"/>
      <c r="E313" s="19"/>
      <c r="F313" s="19"/>
    </row>
    <row r="314" spans="1:6" ht="15.75" customHeight="1" x14ac:dyDescent="0.3">
      <c r="A314" s="19"/>
      <c r="B314" s="19"/>
      <c r="C314" s="19"/>
      <c r="D314" s="19"/>
      <c r="E314" s="19"/>
      <c r="F314" s="19"/>
    </row>
    <row r="315" spans="1:6" ht="15.75" customHeight="1" x14ac:dyDescent="0.3">
      <c r="A315" s="19"/>
      <c r="B315" s="19"/>
      <c r="C315" s="19"/>
      <c r="D315" s="19"/>
      <c r="E315" s="19"/>
      <c r="F315" s="19"/>
    </row>
    <row r="316" spans="1:6" ht="15.75" customHeight="1" x14ac:dyDescent="0.3">
      <c r="A316" s="19"/>
      <c r="B316" s="19"/>
      <c r="C316" s="19"/>
      <c r="D316" s="19"/>
      <c r="E316" s="19"/>
      <c r="F316" s="19"/>
    </row>
    <row r="317" spans="1:6" ht="15.75" customHeight="1" x14ac:dyDescent="0.3">
      <c r="A317" s="19"/>
      <c r="B317" s="19"/>
      <c r="C317" s="19"/>
      <c r="D317" s="19"/>
      <c r="E317" s="19"/>
      <c r="F317" s="19"/>
    </row>
    <row r="318" spans="1:6" ht="15.75" customHeight="1" x14ac:dyDescent="0.3">
      <c r="A318" s="19"/>
      <c r="B318" s="19"/>
      <c r="C318" s="19"/>
      <c r="D318" s="19"/>
      <c r="E318" s="19"/>
      <c r="F318" s="19"/>
    </row>
    <row r="319" spans="1:6" ht="15.75" customHeight="1" x14ac:dyDescent="0.3">
      <c r="A319" s="19"/>
      <c r="B319" s="19"/>
      <c r="C319" s="19"/>
      <c r="D319" s="19"/>
      <c r="E319" s="19"/>
      <c r="F319" s="19"/>
    </row>
    <row r="320" spans="1:6" ht="15.75" customHeight="1" x14ac:dyDescent="0.3">
      <c r="A320" s="19"/>
      <c r="B320" s="19"/>
      <c r="C320" s="19"/>
      <c r="D320" s="19"/>
      <c r="E320" s="19"/>
      <c r="F320" s="19"/>
    </row>
    <row r="321" spans="1:6" ht="15.75" customHeight="1" x14ac:dyDescent="0.3">
      <c r="A321" s="19"/>
      <c r="B321" s="19"/>
      <c r="C321" s="19"/>
      <c r="D321" s="19"/>
      <c r="E321" s="19"/>
      <c r="F321" s="19"/>
    </row>
    <row r="322" spans="1:6" ht="15.75" customHeight="1" x14ac:dyDescent="0.3">
      <c r="A322" s="19"/>
      <c r="B322" s="19"/>
      <c r="C322" s="19"/>
      <c r="D322" s="19"/>
      <c r="E322" s="19"/>
      <c r="F322" s="19"/>
    </row>
    <row r="323" spans="1:6" ht="15.75" customHeight="1" x14ac:dyDescent="0.3">
      <c r="A323" s="19"/>
      <c r="B323" s="19"/>
      <c r="C323" s="19"/>
      <c r="D323" s="19"/>
      <c r="E323" s="19"/>
      <c r="F323" s="19"/>
    </row>
    <row r="324" spans="1:6" ht="15.75" customHeight="1" x14ac:dyDescent="0.3">
      <c r="A324" s="19"/>
      <c r="B324" s="19"/>
      <c r="C324" s="19"/>
      <c r="D324" s="19"/>
      <c r="E324" s="19"/>
      <c r="F324" s="19"/>
    </row>
    <row r="325" spans="1:6" ht="15.75" customHeight="1" x14ac:dyDescent="0.3">
      <c r="A325" s="19"/>
      <c r="B325" s="19"/>
      <c r="C325" s="19"/>
      <c r="D325" s="19"/>
      <c r="E325" s="19"/>
      <c r="F325" s="19"/>
    </row>
    <row r="326" spans="1:6" ht="15.75" customHeight="1" x14ac:dyDescent="0.3">
      <c r="A326" s="19"/>
      <c r="B326" s="19"/>
      <c r="C326" s="19"/>
      <c r="D326" s="19"/>
      <c r="E326" s="19"/>
      <c r="F326" s="19"/>
    </row>
    <row r="327" spans="1:6" ht="15.75" customHeight="1" x14ac:dyDescent="0.3">
      <c r="A327" s="19"/>
      <c r="B327" s="19"/>
      <c r="C327" s="19"/>
      <c r="D327" s="19"/>
      <c r="E327" s="19"/>
      <c r="F327" s="19"/>
    </row>
    <row r="328" spans="1:6" ht="15.75" customHeight="1" x14ac:dyDescent="0.3">
      <c r="A328" s="19"/>
      <c r="B328" s="19"/>
      <c r="C328" s="19"/>
      <c r="D328" s="19"/>
      <c r="E328" s="19"/>
      <c r="F328" s="19"/>
    </row>
    <row r="329" spans="1:6" ht="15.75" customHeight="1" x14ac:dyDescent="0.3">
      <c r="A329" s="19"/>
      <c r="B329" s="19"/>
      <c r="C329" s="19"/>
      <c r="D329" s="19"/>
      <c r="E329" s="19"/>
      <c r="F329" s="19"/>
    </row>
    <row r="330" spans="1:6" ht="15.75" customHeight="1" x14ac:dyDescent="0.3">
      <c r="A330" s="19"/>
      <c r="B330" s="19"/>
      <c r="C330" s="19"/>
      <c r="D330" s="19"/>
      <c r="E330" s="19"/>
      <c r="F330" s="19"/>
    </row>
    <row r="331" spans="1:6" ht="15.75" customHeight="1" x14ac:dyDescent="0.3">
      <c r="A331" s="19"/>
      <c r="B331" s="19"/>
      <c r="C331" s="19"/>
      <c r="D331" s="19"/>
      <c r="E331" s="19"/>
      <c r="F331" s="19"/>
    </row>
    <row r="332" spans="1:6" ht="15.75" customHeight="1" x14ac:dyDescent="0.3">
      <c r="A332" s="19"/>
      <c r="B332" s="19"/>
      <c r="C332" s="19"/>
      <c r="D332" s="19"/>
      <c r="E332" s="19"/>
      <c r="F332" s="19"/>
    </row>
    <row r="333" spans="1:6" ht="15.75" customHeight="1" x14ac:dyDescent="0.3">
      <c r="A333" s="19"/>
      <c r="B333" s="19"/>
      <c r="C333" s="19"/>
      <c r="D333" s="19"/>
      <c r="E333" s="19"/>
      <c r="F333" s="19"/>
    </row>
    <row r="334" spans="1:6" ht="15.75" customHeight="1" x14ac:dyDescent="0.3">
      <c r="A334" s="19"/>
      <c r="B334" s="19"/>
      <c r="C334" s="19"/>
      <c r="D334" s="19"/>
      <c r="E334" s="19"/>
      <c r="F334" s="19"/>
    </row>
    <row r="335" spans="1:6" ht="15.75" customHeight="1" x14ac:dyDescent="0.3">
      <c r="A335" s="19"/>
      <c r="B335" s="19"/>
      <c r="C335" s="19"/>
      <c r="D335" s="19"/>
      <c r="E335" s="19"/>
      <c r="F335" s="19"/>
    </row>
    <row r="336" spans="1:6" ht="15.75" customHeight="1" x14ac:dyDescent="0.3">
      <c r="A336" s="19"/>
      <c r="B336" s="19"/>
      <c r="C336" s="19"/>
      <c r="D336" s="19"/>
      <c r="E336" s="19"/>
      <c r="F336" s="19"/>
    </row>
    <row r="337" spans="1:6" ht="15.75" customHeight="1" x14ac:dyDescent="0.3">
      <c r="A337" s="19"/>
      <c r="B337" s="19"/>
      <c r="C337" s="19"/>
      <c r="D337" s="19"/>
      <c r="E337" s="19"/>
      <c r="F337" s="19"/>
    </row>
    <row r="338" spans="1:6" ht="15.75" customHeight="1" x14ac:dyDescent="0.3">
      <c r="A338" s="19"/>
      <c r="B338" s="19"/>
      <c r="C338" s="19"/>
      <c r="D338" s="19"/>
      <c r="E338" s="19"/>
      <c r="F338" s="19"/>
    </row>
    <row r="339" spans="1:6" ht="15.75" customHeight="1" x14ac:dyDescent="0.3">
      <c r="A339" s="19"/>
      <c r="B339" s="19"/>
      <c r="C339" s="19"/>
      <c r="D339" s="19"/>
      <c r="E339" s="19"/>
      <c r="F339" s="19"/>
    </row>
    <row r="340" spans="1:6" ht="15.75" customHeight="1" x14ac:dyDescent="0.3">
      <c r="A340" s="19"/>
      <c r="B340" s="19"/>
      <c r="C340" s="19"/>
      <c r="D340" s="19"/>
      <c r="E340" s="19"/>
      <c r="F340" s="19"/>
    </row>
    <row r="341" spans="1:6" ht="15.75" customHeight="1" x14ac:dyDescent="0.3">
      <c r="A341" s="19"/>
      <c r="B341" s="19"/>
      <c r="C341" s="19"/>
      <c r="D341" s="19"/>
      <c r="E341" s="19"/>
      <c r="F341" s="19"/>
    </row>
    <row r="342" spans="1:6" ht="15.75" customHeight="1" x14ac:dyDescent="0.3">
      <c r="A342" s="19"/>
      <c r="B342" s="19"/>
      <c r="C342" s="19"/>
      <c r="D342" s="19"/>
      <c r="E342" s="19"/>
      <c r="F342" s="19"/>
    </row>
    <row r="343" spans="1:6" ht="15.75" customHeight="1" x14ac:dyDescent="0.3">
      <c r="A343" s="19"/>
      <c r="B343" s="19"/>
      <c r="C343" s="19"/>
      <c r="D343" s="19"/>
      <c r="E343" s="19"/>
      <c r="F343" s="19"/>
    </row>
    <row r="344" spans="1:6" ht="15.75" customHeight="1" x14ac:dyDescent="0.3">
      <c r="A344" s="19"/>
      <c r="B344" s="19"/>
      <c r="C344" s="19"/>
      <c r="D344" s="19"/>
      <c r="E344" s="19"/>
      <c r="F344" s="19"/>
    </row>
    <row r="345" spans="1:6" ht="15.75" customHeight="1" x14ac:dyDescent="0.3">
      <c r="A345" s="19"/>
      <c r="B345" s="19"/>
      <c r="C345" s="19"/>
      <c r="D345" s="19"/>
      <c r="E345" s="19"/>
      <c r="F345" s="19"/>
    </row>
    <row r="346" spans="1:6" ht="15.75" customHeight="1" x14ac:dyDescent="0.3">
      <c r="A346" s="19"/>
      <c r="B346" s="19"/>
      <c r="C346" s="19"/>
      <c r="D346" s="19"/>
      <c r="E346" s="19"/>
      <c r="F346" s="19"/>
    </row>
    <row r="347" spans="1:6" ht="15.75" customHeight="1" x14ac:dyDescent="0.3">
      <c r="A347" s="19"/>
      <c r="B347" s="19"/>
      <c r="C347" s="19"/>
      <c r="D347" s="19"/>
      <c r="E347" s="19"/>
      <c r="F347" s="19"/>
    </row>
    <row r="348" spans="1:6" ht="15.75" customHeight="1" x14ac:dyDescent="0.3">
      <c r="A348" s="19"/>
      <c r="B348" s="19"/>
      <c r="C348" s="19"/>
      <c r="D348" s="19"/>
      <c r="E348" s="19"/>
      <c r="F348" s="19"/>
    </row>
    <row r="349" spans="1:6" ht="15.75" customHeight="1" x14ac:dyDescent="0.3">
      <c r="A349" s="19"/>
      <c r="B349" s="19"/>
      <c r="C349" s="19"/>
      <c r="D349" s="19"/>
      <c r="E349" s="19"/>
      <c r="F349" s="19"/>
    </row>
    <row r="350" spans="1:6" ht="15.75" customHeight="1" x14ac:dyDescent="0.3">
      <c r="A350" s="19"/>
      <c r="B350" s="19"/>
      <c r="C350" s="19"/>
      <c r="D350" s="19"/>
      <c r="E350" s="19"/>
      <c r="F350" s="19"/>
    </row>
    <row r="351" spans="1:6" ht="15.75" customHeight="1" x14ac:dyDescent="0.3">
      <c r="A351" s="19"/>
      <c r="B351" s="19"/>
      <c r="C351" s="19"/>
      <c r="D351" s="19"/>
      <c r="E351" s="19"/>
      <c r="F351" s="19"/>
    </row>
    <row r="352" spans="1:6" ht="15.75" customHeight="1" x14ac:dyDescent="0.3">
      <c r="A352" s="19"/>
      <c r="B352" s="19"/>
      <c r="C352" s="19"/>
      <c r="D352" s="19"/>
      <c r="E352" s="19"/>
      <c r="F352" s="19"/>
    </row>
    <row r="353" spans="1:6" ht="15.75" customHeight="1" x14ac:dyDescent="0.3">
      <c r="A353" s="19"/>
      <c r="B353" s="19"/>
      <c r="C353" s="19"/>
      <c r="D353" s="19"/>
      <c r="E353" s="19"/>
      <c r="F353" s="19"/>
    </row>
    <row r="354" spans="1:6" ht="15.75" customHeight="1" x14ac:dyDescent="0.3">
      <c r="A354" s="19"/>
      <c r="B354" s="19"/>
      <c r="C354" s="19"/>
      <c r="D354" s="19"/>
      <c r="E354" s="19"/>
      <c r="F354" s="19"/>
    </row>
    <row r="355" spans="1:6" ht="15.75" customHeight="1" x14ac:dyDescent="0.3">
      <c r="A355" s="19"/>
      <c r="B355" s="19"/>
      <c r="C355" s="19"/>
      <c r="D355" s="19"/>
      <c r="E355" s="19"/>
      <c r="F355" s="19"/>
    </row>
    <row r="356" spans="1:6" ht="15.75" customHeight="1" x14ac:dyDescent="0.3">
      <c r="A356" s="19"/>
      <c r="B356" s="19"/>
      <c r="C356" s="19"/>
      <c r="D356" s="19"/>
      <c r="E356" s="19"/>
      <c r="F356" s="19"/>
    </row>
    <row r="357" spans="1:6" ht="15.75" customHeight="1" x14ac:dyDescent="0.3">
      <c r="A357" s="19"/>
      <c r="B357" s="19"/>
      <c r="C357" s="19"/>
      <c r="D357" s="19"/>
      <c r="E357" s="19"/>
      <c r="F357" s="19"/>
    </row>
    <row r="358" spans="1:6" ht="15.75" customHeight="1" x14ac:dyDescent="0.3">
      <c r="A358" s="19"/>
      <c r="B358" s="19"/>
      <c r="C358" s="19"/>
      <c r="D358" s="19"/>
      <c r="E358" s="19"/>
      <c r="F358" s="19"/>
    </row>
    <row r="359" spans="1:6" ht="15.75" customHeight="1" x14ac:dyDescent="0.3">
      <c r="A359" s="19"/>
      <c r="B359" s="19"/>
      <c r="C359" s="19"/>
      <c r="D359" s="19"/>
      <c r="E359" s="19"/>
      <c r="F359" s="19"/>
    </row>
    <row r="360" spans="1:6" ht="15.75" customHeight="1" x14ac:dyDescent="0.3">
      <c r="A360" s="19"/>
      <c r="B360" s="19"/>
      <c r="C360" s="19"/>
      <c r="D360" s="19"/>
      <c r="E360" s="19"/>
      <c r="F360" s="19"/>
    </row>
    <row r="361" spans="1:6" ht="15.75" customHeight="1" x14ac:dyDescent="0.3">
      <c r="A361" s="19"/>
      <c r="B361" s="19"/>
      <c r="C361" s="19"/>
      <c r="D361" s="19"/>
      <c r="E361" s="19"/>
      <c r="F361" s="19"/>
    </row>
    <row r="362" spans="1:6" ht="15.75" customHeight="1" x14ac:dyDescent="0.3">
      <c r="A362" s="19"/>
      <c r="B362" s="19"/>
      <c r="C362" s="19"/>
      <c r="D362" s="19"/>
      <c r="E362" s="19"/>
      <c r="F362" s="19"/>
    </row>
    <row r="363" spans="1:6" ht="15.75" customHeight="1" x14ac:dyDescent="0.3">
      <c r="A363" s="19"/>
      <c r="B363" s="19"/>
      <c r="C363" s="19"/>
      <c r="D363" s="19"/>
      <c r="E363" s="19"/>
      <c r="F363" s="19"/>
    </row>
    <row r="364" spans="1:6" ht="15.75" customHeight="1" x14ac:dyDescent="0.3">
      <c r="A364" s="19"/>
      <c r="B364" s="19"/>
      <c r="C364" s="19"/>
      <c r="D364" s="19"/>
      <c r="E364" s="19"/>
      <c r="F364" s="19"/>
    </row>
    <row r="365" spans="1:6" ht="15.75" customHeight="1" x14ac:dyDescent="0.3">
      <c r="A365" s="19"/>
      <c r="B365" s="19"/>
      <c r="C365" s="19"/>
      <c r="D365" s="19"/>
      <c r="E365" s="19"/>
      <c r="F365" s="19"/>
    </row>
    <row r="366" spans="1:6" ht="15.75" customHeight="1" x14ac:dyDescent="0.3">
      <c r="A366" s="19"/>
      <c r="B366" s="19"/>
      <c r="C366" s="19"/>
      <c r="D366" s="19"/>
      <c r="E366" s="19"/>
      <c r="F366" s="19"/>
    </row>
    <row r="367" spans="1:6" ht="15.75" customHeight="1" x14ac:dyDescent="0.3">
      <c r="A367" s="19"/>
      <c r="B367" s="19"/>
      <c r="C367" s="19"/>
      <c r="D367" s="19"/>
      <c r="E367" s="19"/>
      <c r="F367" s="19"/>
    </row>
    <row r="368" spans="1:6" ht="15.75" customHeight="1" x14ac:dyDescent="0.3">
      <c r="A368" s="19"/>
      <c r="B368" s="19"/>
      <c r="C368" s="19"/>
      <c r="D368" s="19"/>
      <c r="E368" s="19"/>
      <c r="F368" s="19"/>
    </row>
    <row r="369" spans="1:6" ht="15.75" customHeight="1" x14ac:dyDescent="0.3">
      <c r="A369" s="19"/>
      <c r="B369" s="19"/>
      <c r="C369" s="19"/>
      <c r="D369" s="19"/>
      <c r="E369" s="19"/>
      <c r="F369" s="19"/>
    </row>
    <row r="370" spans="1:6" ht="15.75" customHeight="1" x14ac:dyDescent="0.3">
      <c r="A370" s="19"/>
      <c r="B370" s="19"/>
      <c r="C370" s="19"/>
      <c r="D370" s="19"/>
      <c r="E370" s="19"/>
      <c r="F370" s="19"/>
    </row>
    <row r="371" spans="1:6" ht="15.75" customHeight="1" x14ac:dyDescent="0.3">
      <c r="A371" s="19"/>
      <c r="B371" s="19"/>
      <c r="C371" s="19"/>
      <c r="D371" s="19"/>
      <c r="E371" s="19"/>
      <c r="F371" s="19"/>
    </row>
    <row r="372" spans="1:6" ht="15.75" customHeight="1" x14ac:dyDescent="0.3">
      <c r="A372" s="19"/>
      <c r="B372" s="19"/>
      <c r="C372" s="19"/>
      <c r="D372" s="19"/>
      <c r="E372" s="19"/>
      <c r="F372" s="19"/>
    </row>
    <row r="373" spans="1:6" ht="15.75" customHeight="1" x14ac:dyDescent="0.3">
      <c r="A373" s="19"/>
      <c r="B373" s="19"/>
      <c r="C373" s="19"/>
      <c r="D373" s="19"/>
      <c r="E373" s="19"/>
      <c r="F373" s="19"/>
    </row>
    <row r="374" spans="1:6" ht="15.75" customHeight="1" x14ac:dyDescent="0.3">
      <c r="A374" s="19"/>
      <c r="B374" s="19"/>
      <c r="C374" s="19"/>
      <c r="D374" s="19"/>
      <c r="E374" s="19"/>
      <c r="F374" s="19"/>
    </row>
    <row r="375" spans="1:6" ht="15.75" customHeight="1" x14ac:dyDescent="0.3">
      <c r="A375" s="19"/>
      <c r="B375" s="19"/>
      <c r="C375" s="19"/>
      <c r="D375" s="19"/>
      <c r="E375" s="19"/>
      <c r="F375" s="19"/>
    </row>
    <row r="376" spans="1:6" ht="15.75" customHeight="1" x14ac:dyDescent="0.3">
      <c r="A376" s="19"/>
      <c r="B376" s="19"/>
      <c r="C376" s="19"/>
      <c r="D376" s="19"/>
      <c r="E376" s="19"/>
      <c r="F376" s="19"/>
    </row>
    <row r="377" spans="1:6" ht="15.75" customHeight="1" x14ac:dyDescent="0.3">
      <c r="A377" s="19"/>
      <c r="B377" s="19"/>
      <c r="C377" s="19"/>
      <c r="D377" s="19"/>
      <c r="E377" s="19"/>
      <c r="F377" s="19"/>
    </row>
    <row r="378" spans="1:6" ht="15.75" customHeight="1" x14ac:dyDescent="0.3">
      <c r="A378" s="19"/>
      <c r="B378" s="19"/>
      <c r="C378" s="19"/>
      <c r="D378" s="19"/>
      <c r="E378" s="19"/>
      <c r="F378" s="19"/>
    </row>
    <row r="379" spans="1:6" ht="15.75" customHeight="1" x14ac:dyDescent="0.3">
      <c r="A379" s="19"/>
      <c r="B379" s="19"/>
      <c r="C379" s="19"/>
      <c r="D379" s="19"/>
      <c r="E379" s="19"/>
      <c r="F379" s="19"/>
    </row>
    <row r="380" spans="1:6" ht="15.75" customHeight="1" x14ac:dyDescent="0.3">
      <c r="A380" s="19"/>
      <c r="B380" s="19"/>
      <c r="C380" s="19"/>
      <c r="D380" s="19"/>
      <c r="E380" s="19"/>
      <c r="F380" s="19"/>
    </row>
    <row r="381" spans="1:6" ht="15.75" customHeight="1" x14ac:dyDescent="0.3">
      <c r="A381" s="19"/>
      <c r="B381" s="19"/>
      <c r="C381" s="19"/>
      <c r="D381" s="19"/>
      <c r="E381" s="19"/>
      <c r="F381" s="19"/>
    </row>
    <row r="382" spans="1:6" ht="15.75" customHeight="1" x14ac:dyDescent="0.3">
      <c r="A382" s="19"/>
      <c r="B382" s="19"/>
      <c r="C382" s="19"/>
      <c r="D382" s="19"/>
      <c r="E382" s="19"/>
      <c r="F382" s="19"/>
    </row>
    <row r="383" spans="1:6" ht="15.75" customHeight="1" x14ac:dyDescent="0.3">
      <c r="A383" s="19"/>
      <c r="B383" s="19"/>
      <c r="C383" s="19"/>
      <c r="D383" s="19"/>
      <c r="E383" s="19"/>
      <c r="F383" s="19"/>
    </row>
    <row r="384" spans="1:6" ht="15.75" customHeight="1" x14ac:dyDescent="0.3">
      <c r="A384" s="19"/>
      <c r="B384" s="19"/>
      <c r="C384" s="19"/>
      <c r="D384" s="19"/>
      <c r="E384" s="19"/>
      <c r="F384" s="19"/>
    </row>
    <row r="385" spans="1:6" ht="15.75" customHeight="1" x14ac:dyDescent="0.3">
      <c r="A385" s="19"/>
      <c r="B385" s="19"/>
      <c r="C385" s="19"/>
      <c r="D385" s="19"/>
      <c r="E385" s="19"/>
      <c r="F385" s="19"/>
    </row>
    <row r="386" spans="1:6" ht="15.75" customHeight="1" x14ac:dyDescent="0.3">
      <c r="A386" s="19"/>
      <c r="B386" s="19"/>
      <c r="C386" s="19"/>
      <c r="D386" s="19"/>
      <c r="E386" s="19"/>
      <c r="F386" s="19"/>
    </row>
    <row r="387" spans="1:6" ht="15.75" customHeight="1" x14ac:dyDescent="0.3">
      <c r="A387" s="19"/>
      <c r="B387" s="19"/>
      <c r="C387" s="19"/>
      <c r="D387" s="19"/>
      <c r="E387" s="19"/>
      <c r="F387" s="19"/>
    </row>
    <row r="388" spans="1:6" ht="15.75" customHeight="1" x14ac:dyDescent="0.3">
      <c r="A388" s="19"/>
      <c r="B388" s="19"/>
      <c r="C388" s="19"/>
      <c r="D388" s="19"/>
      <c r="E388" s="19"/>
      <c r="F388" s="19"/>
    </row>
    <row r="389" spans="1:6" ht="15.75" customHeight="1" x14ac:dyDescent="0.3">
      <c r="A389" s="19"/>
      <c r="B389" s="19"/>
      <c r="C389" s="19"/>
      <c r="D389" s="19"/>
      <c r="E389" s="19"/>
      <c r="F389" s="19"/>
    </row>
    <row r="390" spans="1:6" ht="15.75" customHeight="1" x14ac:dyDescent="0.3">
      <c r="A390" s="19"/>
      <c r="B390" s="19"/>
      <c r="C390" s="19"/>
      <c r="D390" s="19"/>
      <c r="E390" s="19"/>
      <c r="F390" s="19"/>
    </row>
    <row r="391" spans="1:6" ht="15.75" customHeight="1" x14ac:dyDescent="0.3">
      <c r="A391" s="19"/>
      <c r="B391" s="19"/>
      <c r="C391" s="19"/>
      <c r="D391" s="19"/>
      <c r="E391" s="19"/>
      <c r="F391" s="19"/>
    </row>
    <row r="392" spans="1:6" ht="15.75" customHeight="1" x14ac:dyDescent="0.3">
      <c r="A392" s="19"/>
      <c r="B392" s="19"/>
      <c r="C392" s="19"/>
      <c r="D392" s="19"/>
      <c r="E392" s="19"/>
      <c r="F392" s="19"/>
    </row>
    <row r="393" spans="1:6" ht="15.75" customHeight="1" x14ac:dyDescent="0.3">
      <c r="A393" s="19"/>
      <c r="B393" s="19"/>
      <c r="C393" s="19"/>
      <c r="D393" s="19"/>
      <c r="E393" s="19"/>
      <c r="F393" s="19"/>
    </row>
    <row r="394" spans="1:6" ht="15.75" customHeight="1" x14ac:dyDescent="0.3">
      <c r="A394" s="19"/>
      <c r="B394" s="19"/>
      <c r="C394" s="19"/>
      <c r="D394" s="19"/>
      <c r="E394" s="19"/>
      <c r="F394" s="19"/>
    </row>
    <row r="395" spans="1:6" ht="15.75" customHeight="1" x14ac:dyDescent="0.3">
      <c r="A395" s="19"/>
      <c r="B395" s="19"/>
      <c r="C395" s="19"/>
      <c r="D395" s="19"/>
      <c r="E395" s="19"/>
      <c r="F395" s="19"/>
    </row>
    <row r="396" spans="1:6" ht="15.75" customHeight="1" x14ac:dyDescent="0.3">
      <c r="A396" s="19"/>
      <c r="B396" s="19"/>
      <c r="C396" s="19"/>
      <c r="D396" s="19"/>
      <c r="E396" s="19"/>
      <c r="F396" s="19"/>
    </row>
    <row r="397" spans="1:6" ht="15.75" customHeight="1" x14ac:dyDescent="0.3">
      <c r="A397" s="19"/>
      <c r="B397" s="19"/>
      <c r="C397" s="19"/>
      <c r="D397" s="19"/>
      <c r="E397" s="19"/>
      <c r="F397" s="19"/>
    </row>
    <row r="398" spans="1:6" ht="15.75" customHeight="1" x14ac:dyDescent="0.3">
      <c r="A398" s="19"/>
      <c r="B398" s="19"/>
      <c r="C398" s="19"/>
      <c r="D398" s="19"/>
      <c r="E398" s="19"/>
      <c r="F398" s="19"/>
    </row>
    <row r="399" spans="1:6" ht="15.75" customHeight="1" x14ac:dyDescent="0.3">
      <c r="A399" s="19"/>
      <c r="B399" s="19"/>
      <c r="C399" s="19"/>
      <c r="D399" s="19"/>
      <c r="E399" s="19"/>
      <c r="F399" s="19"/>
    </row>
    <row r="400" spans="1:6" ht="15.75" customHeight="1" x14ac:dyDescent="0.3">
      <c r="A400" s="19"/>
      <c r="B400" s="19"/>
      <c r="C400" s="19"/>
      <c r="D400" s="19"/>
      <c r="E400" s="19"/>
      <c r="F400" s="19"/>
    </row>
    <row r="401" spans="1:6" ht="15.75" customHeight="1" x14ac:dyDescent="0.3">
      <c r="A401" s="19"/>
      <c r="B401" s="19"/>
      <c r="C401" s="19"/>
      <c r="D401" s="19"/>
      <c r="E401" s="19"/>
      <c r="F401" s="19"/>
    </row>
    <row r="402" spans="1:6" ht="15.75" customHeight="1" x14ac:dyDescent="0.3">
      <c r="A402" s="19"/>
      <c r="B402" s="19"/>
      <c r="C402" s="19"/>
      <c r="D402" s="19"/>
      <c r="E402" s="19"/>
      <c r="F402" s="19"/>
    </row>
    <row r="403" spans="1:6" ht="15.75" customHeight="1" x14ac:dyDescent="0.3">
      <c r="A403" s="19"/>
      <c r="B403" s="19"/>
      <c r="C403" s="19"/>
      <c r="D403" s="19"/>
      <c r="E403" s="19"/>
      <c r="F403" s="19"/>
    </row>
    <row r="404" spans="1:6" ht="15.75" customHeight="1" x14ac:dyDescent="0.3">
      <c r="A404" s="19"/>
      <c r="B404" s="19"/>
      <c r="C404" s="19"/>
      <c r="D404" s="19"/>
      <c r="E404" s="19"/>
      <c r="F404" s="19"/>
    </row>
    <row r="405" spans="1:6" ht="15.75" customHeight="1" x14ac:dyDescent="0.3">
      <c r="A405" s="19"/>
      <c r="B405" s="19"/>
      <c r="C405" s="19"/>
      <c r="D405" s="19"/>
      <c r="E405" s="19"/>
      <c r="F405" s="19"/>
    </row>
    <row r="406" spans="1:6" ht="15.75" customHeight="1" x14ac:dyDescent="0.3">
      <c r="A406" s="19"/>
      <c r="B406" s="19"/>
      <c r="C406" s="19"/>
      <c r="D406" s="19"/>
      <c r="E406" s="19"/>
      <c r="F406" s="19"/>
    </row>
    <row r="407" spans="1:6" ht="15.75" customHeight="1" x14ac:dyDescent="0.3">
      <c r="A407" s="19"/>
      <c r="B407" s="19"/>
      <c r="C407" s="19"/>
      <c r="D407" s="19"/>
      <c r="E407" s="19"/>
      <c r="F407" s="19"/>
    </row>
    <row r="408" spans="1:6" ht="15.75" customHeight="1" x14ac:dyDescent="0.3">
      <c r="A408" s="19"/>
      <c r="B408" s="19"/>
      <c r="C408" s="19"/>
      <c r="D408" s="19"/>
      <c r="E408" s="19"/>
      <c r="F408" s="19"/>
    </row>
    <row r="409" spans="1:6" ht="15.75" customHeight="1" x14ac:dyDescent="0.3">
      <c r="A409" s="19"/>
      <c r="B409" s="19"/>
      <c r="C409" s="19"/>
      <c r="D409" s="19"/>
      <c r="E409" s="19"/>
      <c r="F409" s="19"/>
    </row>
    <row r="410" spans="1:6" ht="15.75" customHeight="1" x14ac:dyDescent="0.3">
      <c r="A410" s="19"/>
      <c r="B410" s="19"/>
      <c r="C410" s="19"/>
      <c r="D410" s="19"/>
      <c r="E410" s="19"/>
      <c r="F410" s="19"/>
    </row>
    <row r="411" spans="1:6" ht="15.75" customHeight="1" x14ac:dyDescent="0.3">
      <c r="A411" s="19"/>
      <c r="B411" s="19"/>
      <c r="C411" s="19"/>
      <c r="D411" s="19"/>
      <c r="E411" s="19"/>
      <c r="F411" s="19"/>
    </row>
    <row r="412" spans="1:6" ht="15.75" customHeight="1" x14ac:dyDescent="0.3">
      <c r="A412" s="19"/>
      <c r="B412" s="19"/>
      <c r="C412" s="19"/>
      <c r="D412" s="19"/>
      <c r="E412" s="19"/>
      <c r="F412" s="19"/>
    </row>
    <row r="413" spans="1:6" ht="15.75" customHeight="1" x14ac:dyDescent="0.3">
      <c r="A413" s="19"/>
      <c r="B413" s="19"/>
      <c r="C413" s="19"/>
      <c r="D413" s="19"/>
      <c r="E413" s="19"/>
      <c r="F413" s="19"/>
    </row>
    <row r="414" spans="1:6" ht="15.75" customHeight="1" x14ac:dyDescent="0.3">
      <c r="A414" s="19"/>
      <c r="B414" s="19"/>
      <c r="C414" s="19"/>
      <c r="D414" s="19"/>
      <c r="E414" s="19"/>
      <c r="F414" s="19"/>
    </row>
    <row r="415" spans="1:6" ht="15.75" customHeight="1" x14ac:dyDescent="0.3">
      <c r="A415" s="19"/>
      <c r="B415" s="19"/>
      <c r="C415" s="19"/>
      <c r="D415" s="19"/>
      <c r="E415" s="19"/>
      <c r="F415" s="19"/>
    </row>
    <row r="416" spans="1:6" ht="15.75" customHeight="1" x14ac:dyDescent="0.3">
      <c r="A416" s="19"/>
      <c r="B416" s="19"/>
      <c r="C416" s="19"/>
      <c r="D416" s="19"/>
      <c r="E416" s="19"/>
      <c r="F416" s="19"/>
    </row>
    <row r="417" spans="1:6" ht="15.75" customHeight="1" x14ac:dyDescent="0.3">
      <c r="A417" s="19"/>
      <c r="B417" s="19"/>
      <c r="C417" s="19"/>
      <c r="D417" s="19"/>
      <c r="E417" s="19"/>
      <c r="F417" s="19"/>
    </row>
    <row r="418" spans="1:6" ht="15.75" customHeight="1" x14ac:dyDescent="0.3">
      <c r="A418" s="19"/>
      <c r="B418" s="19"/>
      <c r="C418" s="19"/>
      <c r="D418" s="19"/>
      <c r="E418" s="19"/>
      <c r="F418" s="19"/>
    </row>
    <row r="419" spans="1:6" ht="15.75" customHeight="1" x14ac:dyDescent="0.3">
      <c r="A419" s="19"/>
      <c r="B419" s="19"/>
      <c r="C419" s="19"/>
      <c r="D419" s="19"/>
      <c r="E419" s="19"/>
      <c r="F419" s="19"/>
    </row>
    <row r="420" spans="1:6" ht="15.75" customHeight="1" x14ac:dyDescent="0.3">
      <c r="A420" s="19"/>
      <c r="B420" s="19"/>
      <c r="C420" s="19"/>
      <c r="D420" s="19"/>
      <c r="E420" s="19"/>
      <c r="F420" s="19"/>
    </row>
    <row r="421" spans="1:6" ht="15.75" customHeight="1" x14ac:dyDescent="0.3">
      <c r="A421" s="19"/>
      <c r="B421" s="19"/>
      <c r="C421" s="19"/>
      <c r="D421" s="19"/>
      <c r="E421" s="19"/>
      <c r="F421" s="19"/>
    </row>
    <row r="422" spans="1:6" ht="15.75" customHeight="1" x14ac:dyDescent="0.3">
      <c r="A422" s="19"/>
      <c r="B422" s="19"/>
      <c r="C422" s="19"/>
      <c r="D422" s="19"/>
      <c r="E422" s="19"/>
      <c r="F422" s="19"/>
    </row>
    <row r="423" spans="1:6" ht="15.75" customHeight="1" x14ac:dyDescent="0.3">
      <c r="A423" s="19"/>
      <c r="B423" s="19"/>
      <c r="C423" s="19"/>
      <c r="D423" s="19"/>
      <c r="E423" s="19"/>
      <c r="F423" s="19"/>
    </row>
    <row r="424" spans="1:6" ht="15.75" customHeight="1" x14ac:dyDescent="0.3">
      <c r="A424" s="19"/>
      <c r="B424" s="19"/>
      <c r="C424" s="19"/>
      <c r="D424" s="19"/>
      <c r="E424" s="19"/>
      <c r="F424" s="19"/>
    </row>
    <row r="425" spans="1:6" ht="15.75" customHeight="1" x14ac:dyDescent="0.3">
      <c r="A425" s="19"/>
      <c r="B425" s="19"/>
      <c r="C425" s="19"/>
      <c r="D425" s="19"/>
      <c r="E425" s="19"/>
      <c r="F425" s="19"/>
    </row>
    <row r="426" spans="1:6" ht="15.75" customHeight="1" x14ac:dyDescent="0.3">
      <c r="A426" s="19"/>
      <c r="B426" s="19"/>
      <c r="C426" s="19"/>
      <c r="D426" s="19"/>
      <c r="E426" s="19"/>
      <c r="F426" s="19"/>
    </row>
    <row r="427" spans="1:6" ht="15.75" customHeight="1" x14ac:dyDescent="0.3">
      <c r="A427" s="19"/>
      <c r="B427" s="19"/>
      <c r="C427" s="19"/>
      <c r="D427" s="19"/>
      <c r="E427" s="19"/>
      <c r="F427" s="19"/>
    </row>
    <row r="428" spans="1:6" ht="15.75" customHeight="1" x14ac:dyDescent="0.3">
      <c r="A428" s="19"/>
      <c r="B428" s="19"/>
      <c r="C428" s="19"/>
      <c r="D428" s="19"/>
      <c r="E428" s="19"/>
      <c r="F428" s="19"/>
    </row>
    <row r="429" spans="1:6" ht="15.75" customHeight="1" x14ac:dyDescent="0.3">
      <c r="A429" s="19"/>
      <c r="B429" s="19"/>
      <c r="C429" s="19"/>
      <c r="D429" s="19"/>
      <c r="E429" s="19"/>
      <c r="F429" s="19"/>
    </row>
    <row r="430" spans="1:6" ht="15.75" customHeight="1" x14ac:dyDescent="0.3">
      <c r="A430" s="19"/>
      <c r="B430" s="19"/>
      <c r="C430" s="19"/>
      <c r="D430" s="19"/>
      <c r="E430" s="19"/>
      <c r="F430" s="19"/>
    </row>
    <row r="431" spans="1:6" ht="15.75" customHeight="1" x14ac:dyDescent="0.3">
      <c r="A431" s="19"/>
      <c r="B431" s="19"/>
      <c r="C431" s="19"/>
      <c r="D431" s="19"/>
      <c r="E431" s="19"/>
      <c r="F431" s="19"/>
    </row>
    <row r="432" spans="1:6" ht="15.75" customHeight="1" x14ac:dyDescent="0.3">
      <c r="A432" s="19"/>
      <c r="B432" s="19"/>
      <c r="C432" s="19"/>
      <c r="D432" s="19"/>
      <c r="E432" s="19"/>
      <c r="F432" s="19"/>
    </row>
    <row r="433" spans="1:6" ht="15.75" customHeight="1" x14ac:dyDescent="0.3">
      <c r="A433" s="19"/>
      <c r="B433" s="19"/>
      <c r="C433" s="19"/>
      <c r="D433" s="19"/>
      <c r="E433" s="19"/>
      <c r="F433" s="19"/>
    </row>
    <row r="434" spans="1:6" ht="15.75" customHeight="1" x14ac:dyDescent="0.3">
      <c r="A434" s="19"/>
      <c r="B434" s="19"/>
      <c r="C434" s="19"/>
      <c r="D434" s="19"/>
      <c r="E434" s="19"/>
      <c r="F434" s="19"/>
    </row>
    <row r="435" spans="1:6" ht="15.75" customHeight="1" x14ac:dyDescent="0.3">
      <c r="A435" s="19"/>
      <c r="B435" s="19"/>
      <c r="C435" s="19"/>
      <c r="D435" s="19"/>
      <c r="E435" s="19"/>
      <c r="F435" s="19"/>
    </row>
    <row r="436" spans="1:6" ht="15.75" customHeight="1" x14ac:dyDescent="0.3">
      <c r="A436" s="19"/>
      <c r="B436" s="19"/>
      <c r="C436" s="19"/>
      <c r="D436" s="19"/>
      <c r="E436" s="19"/>
      <c r="F436" s="19"/>
    </row>
    <row r="437" spans="1:6" ht="15.75" customHeight="1" x14ac:dyDescent="0.3">
      <c r="A437" s="19"/>
      <c r="B437" s="19"/>
      <c r="C437" s="19"/>
      <c r="D437" s="19"/>
      <c r="E437" s="19"/>
      <c r="F437" s="19"/>
    </row>
    <row r="438" spans="1:6" ht="15.75" customHeight="1" x14ac:dyDescent="0.3">
      <c r="A438" s="19"/>
      <c r="B438" s="19"/>
      <c r="C438" s="19"/>
      <c r="D438" s="19"/>
      <c r="E438" s="19"/>
      <c r="F438" s="19"/>
    </row>
    <row r="439" spans="1:6" ht="15.75" customHeight="1" x14ac:dyDescent="0.3">
      <c r="A439" s="19"/>
      <c r="B439" s="19"/>
      <c r="C439" s="19"/>
      <c r="D439" s="19"/>
      <c r="E439" s="19"/>
      <c r="F439" s="19"/>
    </row>
    <row r="440" spans="1:6" ht="15.75" customHeight="1" x14ac:dyDescent="0.3">
      <c r="A440" s="19"/>
      <c r="B440" s="19"/>
      <c r="C440" s="19"/>
      <c r="D440" s="19"/>
      <c r="E440" s="19"/>
      <c r="F440" s="19"/>
    </row>
    <row r="441" spans="1:6" ht="15.75" customHeight="1" x14ac:dyDescent="0.3">
      <c r="A441" s="19"/>
      <c r="B441" s="19"/>
      <c r="C441" s="19"/>
      <c r="D441" s="19"/>
      <c r="E441" s="19"/>
      <c r="F441" s="19"/>
    </row>
    <row r="442" spans="1:6" ht="15.75" customHeight="1" x14ac:dyDescent="0.3">
      <c r="A442" s="19"/>
      <c r="B442" s="19"/>
      <c r="C442" s="19"/>
      <c r="D442" s="19"/>
      <c r="E442" s="19"/>
      <c r="F442" s="19"/>
    </row>
    <row r="443" spans="1:6" ht="15.75" customHeight="1" x14ac:dyDescent="0.3">
      <c r="A443" s="19"/>
      <c r="B443" s="19"/>
      <c r="C443" s="19"/>
      <c r="D443" s="19"/>
      <c r="E443" s="19"/>
      <c r="F443" s="19"/>
    </row>
    <row r="444" spans="1:6" ht="15.75" customHeight="1" x14ac:dyDescent="0.3">
      <c r="A444" s="19"/>
      <c r="B444" s="19"/>
      <c r="C444" s="19"/>
      <c r="D444" s="19"/>
      <c r="E444" s="19"/>
      <c r="F444" s="19"/>
    </row>
    <row r="445" spans="1:6" ht="15.75" customHeight="1" x14ac:dyDescent="0.3">
      <c r="A445" s="19"/>
      <c r="B445" s="19"/>
      <c r="C445" s="19"/>
      <c r="D445" s="19"/>
      <c r="E445" s="19"/>
      <c r="F445" s="19"/>
    </row>
    <row r="446" spans="1:6" ht="15.75" customHeight="1" x14ac:dyDescent="0.3">
      <c r="A446" s="19"/>
      <c r="B446" s="19"/>
      <c r="C446" s="19"/>
      <c r="D446" s="19"/>
      <c r="E446" s="19"/>
      <c r="F446" s="19"/>
    </row>
    <row r="447" spans="1:6" ht="15.75" customHeight="1" x14ac:dyDescent="0.3">
      <c r="A447" s="19"/>
      <c r="B447" s="19"/>
      <c r="C447" s="19"/>
      <c r="D447" s="19"/>
      <c r="E447" s="19"/>
      <c r="F447" s="19"/>
    </row>
    <row r="448" spans="1:6" ht="15.75" customHeight="1" x14ac:dyDescent="0.3">
      <c r="A448" s="19"/>
      <c r="B448" s="19"/>
      <c r="C448" s="19"/>
      <c r="D448" s="19"/>
      <c r="E448" s="19"/>
      <c r="F448" s="19"/>
    </row>
    <row r="449" spans="1:6" ht="15.75" customHeight="1" x14ac:dyDescent="0.3">
      <c r="A449" s="19"/>
      <c r="B449" s="19"/>
      <c r="C449" s="19"/>
      <c r="D449" s="19"/>
      <c r="E449" s="19"/>
      <c r="F449" s="19"/>
    </row>
    <row r="450" spans="1:6" ht="15.75" customHeight="1" x14ac:dyDescent="0.3">
      <c r="A450" s="19"/>
      <c r="B450" s="19"/>
      <c r="C450" s="19"/>
      <c r="D450" s="19"/>
      <c r="E450" s="19"/>
      <c r="F450" s="19"/>
    </row>
    <row r="451" spans="1:6" ht="15.75" customHeight="1" x14ac:dyDescent="0.3">
      <c r="A451" s="19"/>
      <c r="B451" s="19"/>
      <c r="C451" s="19"/>
      <c r="D451" s="19"/>
      <c r="E451" s="19"/>
      <c r="F451" s="19"/>
    </row>
    <row r="452" spans="1:6" ht="15.75" customHeight="1" x14ac:dyDescent="0.3">
      <c r="A452" s="19"/>
      <c r="B452" s="19"/>
      <c r="C452" s="19"/>
      <c r="D452" s="19"/>
      <c r="E452" s="19"/>
      <c r="F452" s="19"/>
    </row>
    <row r="453" spans="1:6" ht="15.75" customHeight="1" x14ac:dyDescent="0.3">
      <c r="A453" s="19"/>
      <c r="B453" s="19"/>
      <c r="C453" s="19"/>
      <c r="D453" s="19"/>
      <c r="E453" s="19"/>
      <c r="F453" s="19"/>
    </row>
    <row r="454" spans="1:6" ht="15.75" customHeight="1" x14ac:dyDescent="0.3">
      <c r="A454" s="19"/>
      <c r="B454" s="19"/>
      <c r="C454" s="19"/>
      <c r="D454" s="19"/>
      <c r="E454" s="19"/>
      <c r="F454" s="19"/>
    </row>
    <row r="455" spans="1:6" ht="15.75" customHeight="1" x14ac:dyDescent="0.3">
      <c r="A455" s="19"/>
      <c r="B455" s="19"/>
      <c r="C455" s="19"/>
      <c r="D455" s="19"/>
      <c r="E455" s="19"/>
      <c r="F455" s="19"/>
    </row>
    <row r="456" spans="1:6" ht="15.75" customHeight="1" x14ac:dyDescent="0.3">
      <c r="A456" s="19"/>
      <c r="B456" s="19"/>
      <c r="C456" s="19"/>
      <c r="D456" s="19"/>
      <c r="E456" s="19"/>
      <c r="F456" s="19"/>
    </row>
    <row r="457" spans="1:6" ht="15.75" customHeight="1" x14ac:dyDescent="0.3">
      <c r="A457" s="19"/>
      <c r="B457" s="19"/>
      <c r="C457" s="19"/>
      <c r="D457" s="19"/>
      <c r="E457" s="19"/>
      <c r="F457" s="19"/>
    </row>
    <row r="458" spans="1:6" ht="15.75" customHeight="1" x14ac:dyDescent="0.3">
      <c r="A458" s="19"/>
      <c r="B458" s="19"/>
      <c r="C458" s="19"/>
      <c r="D458" s="19"/>
      <c r="E458" s="19"/>
      <c r="F458" s="19"/>
    </row>
    <row r="459" spans="1:6" ht="15.75" customHeight="1" x14ac:dyDescent="0.3">
      <c r="A459" s="19"/>
      <c r="B459" s="19"/>
      <c r="C459" s="19"/>
      <c r="D459" s="19"/>
      <c r="E459" s="19"/>
      <c r="F459" s="19"/>
    </row>
    <row r="460" spans="1:6" ht="15.75" customHeight="1" x14ac:dyDescent="0.3">
      <c r="A460" s="19"/>
      <c r="B460" s="19"/>
      <c r="C460" s="19"/>
      <c r="D460" s="19"/>
      <c r="E460" s="19"/>
      <c r="F460" s="19"/>
    </row>
    <row r="461" spans="1:6" ht="15.75" customHeight="1" x14ac:dyDescent="0.3">
      <c r="A461" s="19"/>
      <c r="B461" s="19"/>
      <c r="C461" s="19"/>
      <c r="D461" s="19"/>
      <c r="E461" s="19"/>
      <c r="F461" s="19"/>
    </row>
    <row r="462" spans="1:6" ht="15.75" customHeight="1" x14ac:dyDescent="0.3">
      <c r="A462" s="19"/>
      <c r="B462" s="19"/>
      <c r="C462" s="19"/>
      <c r="D462" s="19"/>
      <c r="E462" s="19"/>
      <c r="F462" s="19"/>
    </row>
    <row r="463" spans="1:6" ht="15.75" customHeight="1" x14ac:dyDescent="0.3">
      <c r="A463" s="19"/>
      <c r="B463" s="19"/>
      <c r="C463" s="19"/>
      <c r="D463" s="19"/>
      <c r="E463" s="19"/>
      <c r="F463" s="19"/>
    </row>
    <row r="464" spans="1:6" ht="15.75" customHeight="1" x14ac:dyDescent="0.3">
      <c r="A464" s="19"/>
      <c r="B464" s="19"/>
      <c r="C464" s="19"/>
      <c r="D464" s="19"/>
      <c r="E464" s="19"/>
      <c r="F464" s="19"/>
    </row>
    <row r="465" spans="1:6" ht="15.75" customHeight="1" x14ac:dyDescent="0.3">
      <c r="A465" s="19"/>
      <c r="B465" s="19"/>
      <c r="C465" s="19"/>
      <c r="D465" s="19"/>
      <c r="E465" s="19"/>
      <c r="F465" s="19"/>
    </row>
    <row r="466" spans="1:6" ht="15.75" customHeight="1" x14ac:dyDescent="0.3">
      <c r="A466" s="19"/>
      <c r="B466" s="19"/>
      <c r="C466" s="19"/>
      <c r="D466" s="19"/>
      <c r="E466" s="19"/>
      <c r="F466" s="19"/>
    </row>
    <row r="467" spans="1:6" ht="15.75" customHeight="1" x14ac:dyDescent="0.3">
      <c r="A467" s="19"/>
      <c r="B467" s="19"/>
      <c r="C467" s="19"/>
      <c r="D467" s="19"/>
      <c r="E467" s="19"/>
      <c r="F467" s="19"/>
    </row>
    <row r="468" spans="1:6" ht="15.75" customHeight="1" x14ac:dyDescent="0.3">
      <c r="A468" s="19"/>
      <c r="B468" s="19"/>
      <c r="C468" s="19"/>
      <c r="D468" s="19"/>
      <c r="E468" s="19"/>
      <c r="F468" s="19"/>
    </row>
    <row r="469" spans="1:6" ht="15.75" customHeight="1" x14ac:dyDescent="0.3">
      <c r="A469" s="19"/>
      <c r="B469" s="19"/>
      <c r="C469" s="19"/>
      <c r="D469" s="19"/>
      <c r="E469" s="19"/>
      <c r="F469" s="19"/>
    </row>
    <row r="470" spans="1:6" ht="15.75" customHeight="1" x14ac:dyDescent="0.3">
      <c r="A470" s="19"/>
      <c r="B470" s="19"/>
      <c r="C470" s="19"/>
      <c r="D470" s="19"/>
      <c r="E470" s="19"/>
      <c r="F470" s="19"/>
    </row>
    <row r="471" spans="1:6" ht="15.75" customHeight="1" x14ac:dyDescent="0.3">
      <c r="A471" s="19"/>
      <c r="B471" s="19"/>
      <c r="C471" s="19"/>
      <c r="D471" s="19"/>
      <c r="E471" s="19"/>
      <c r="F471" s="19"/>
    </row>
    <row r="472" spans="1:6" ht="15.75" customHeight="1" x14ac:dyDescent="0.3">
      <c r="A472" s="19"/>
      <c r="B472" s="19"/>
      <c r="C472" s="19"/>
      <c r="D472" s="19"/>
      <c r="E472" s="19"/>
      <c r="F472" s="19"/>
    </row>
    <row r="473" spans="1:6" ht="15.75" customHeight="1" x14ac:dyDescent="0.3">
      <c r="A473" s="19"/>
      <c r="B473" s="19"/>
      <c r="C473" s="19"/>
      <c r="D473" s="19"/>
      <c r="E473" s="19"/>
      <c r="F473" s="19"/>
    </row>
    <row r="474" spans="1:6" ht="15.75" customHeight="1" x14ac:dyDescent="0.3">
      <c r="A474" s="19"/>
      <c r="B474" s="19"/>
      <c r="C474" s="19"/>
      <c r="D474" s="19"/>
      <c r="E474" s="19"/>
      <c r="F474" s="19"/>
    </row>
    <row r="475" spans="1:6" ht="15.75" customHeight="1" x14ac:dyDescent="0.3">
      <c r="A475" s="19"/>
      <c r="B475" s="19"/>
      <c r="C475" s="19"/>
      <c r="D475" s="19"/>
      <c r="E475" s="19"/>
      <c r="F475" s="19"/>
    </row>
    <row r="476" spans="1:6" ht="15.75" customHeight="1" x14ac:dyDescent="0.3">
      <c r="A476" s="19"/>
      <c r="B476" s="19"/>
      <c r="C476" s="19"/>
      <c r="D476" s="19"/>
      <c r="E476" s="19"/>
      <c r="F476" s="19"/>
    </row>
    <row r="477" spans="1:6" ht="15.75" customHeight="1" x14ac:dyDescent="0.3">
      <c r="A477" s="19"/>
      <c r="B477" s="19"/>
      <c r="C477" s="19"/>
      <c r="D477" s="19"/>
      <c r="E477" s="19"/>
      <c r="F477" s="19"/>
    </row>
    <row r="478" spans="1:6" ht="15.75" customHeight="1" x14ac:dyDescent="0.3">
      <c r="A478" s="19"/>
      <c r="B478" s="19"/>
      <c r="C478" s="19"/>
      <c r="D478" s="19"/>
      <c r="E478" s="19"/>
      <c r="F478" s="19"/>
    </row>
    <row r="479" spans="1:6" ht="15.75" customHeight="1" x14ac:dyDescent="0.3">
      <c r="A479" s="19"/>
      <c r="B479" s="19"/>
      <c r="C479" s="19"/>
      <c r="D479" s="19"/>
      <c r="E479" s="19"/>
      <c r="F479" s="19"/>
    </row>
    <row r="480" spans="1:6" ht="15.75" customHeight="1" x14ac:dyDescent="0.3">
      <c r="A480" s="19"/>
      <c r="B480" s="19"/>
      <c r="C480" s="19"/>
      <c r="D480" s="19"/>
      <c r="E480" s="19"/>
      <c r="F480" s="19"/>
    </row>
    <row r="481" spans="1:6" ht="15.75" customHeight="1" x14ac:dyDescent="0.3">
      <c r="A481" s="19"/>
      <c r="B481" s="19"/>
      <c r="C481" s="19"/>
      <c r="D481" s="19"/>
      <c r="E481" s="19"/>
      <c r="F481" s="19"/>
    </row>
    <row r="482" spans="1:6" ht="15.75" customHeight="1" x14ac:dyDescent="0.3">
      <c r="A482" s="19"/>
      <c r="B482" s="19"/>
      <c r="C482" s="19"/>
      <c r="D482" s="19"/>
      <c r="E482" s="19"/>
      <c r="F482" s="19"/>
    </row>
    <row r="483" spans="1:6" ht="15.75" customHeight="1" x14ac:dyDescent="0.3">
      <c r="A483" s="19"/>
      <c r="B483" s="19"/>
      <c r="C483" s="19"/>
      <c r="D483" s="19"/>
      <c r="E483" s="19"/>
      <c r="F483" s="19"/>
    </row>
    <row r="484" spans="1:6" ht="15.75" customHeight="1" x14ac:dyDescent="0.3">
      <c r="A484" s="19"/>
      <c r="B484" s="19"/>
      <c r="C484" s="19"/>
      <c r="D484" s="19"/>
      <c r="E484" s="19"/>
      <c r="F484" s="19"/>
    </row>
    <row r="485" spans="1:6" ht="15.75" customHeight="1" x14ac:dyDescent="0.3">
      <c r="A485" s="19"/>
      <c r="B485" s="19"/>
      <c r="C485" s="19"/>
      <c r="D485" s="19"/>
      <c r="E485" s="19"/>
      <c r="F485" s="19"/>
    </row>
    <row r="486" spans="1:6" ht="15.75" customHeight="1" x14ac:dyDescent="0.3">
      <c r="A486" s="19"/>
      <c r="B486" s="19"/>
      <c r="C486" s="19"/>
      <c r="D486" s="19"/>
      <c r="E486" s="19"/>
      <c r="F486" s="19"/>
    </row>
    <row r="487" spans="1:6" ht="15.75" customHeight="1" x14ac:dyDescent="0.3">
      <c r="A487" s="19"/>
      <c r="B487" s="19"/>
      <c r="C487" s="19"/>
      <c r="D487" s="19"/>
      <c r="E487" s="19"/>
      <c r="F487" s="19"/>
    </row>
    <row r="488" spans="1:6" ht="15.75" customHeight="1" x14ac:dyDescent="0.3">
      <c r="A488" s="19"/>
      <c r="B488" s="19"/>
      <c r="C488" s="19"/>
      <c r="D488" s="19"/>
      <c r="E488" s="19"/>
      <c r="F488" s="19"/>
    </row>
    <row r="489" spans="1:6" ht="15.75" customHeight="1" x14ac:dyDescent="0.3">
      <c r="A489" s="19"/>
      <c r="B489" s="19"/>
      <c r="C489" s="19"/>
      <c r="D489" s="19"/>
      <c r="E489" s="19"/>
      <c r="F489" s="19"/>
    </row>
    <row r="490" spans="1:6" ht="15.75" customHeight="1" x14ac:dyDescent="0.3">
      <c r="A490" s="19"/>
      <c r="B490" s="19"/>
      <c r="C490" s="19"/>
      <c r="D490" s="19"/>
      <c r="E490" s="19"/>
      <c r="F490" s="19"/>
    </row>
    <row r="491" spans="1:6" ht="15.75" customHeight="1" x14ac:dyDescent="0.3">
      <c r="A491" s="19"/>
      <c r="B491" s="19"/>
      <c r="C491" s="19"/>
      <c r="D491" s="19"/>
      <c r="E491" s="19"/>
      <c r="F491" s="19"/>
    </row>
    <row r="492" spans="1:6" ht="15.75" customHeight="1" x14ac:dyDescent="0.3">
      <c r="A492" s="19"/>
      <c r="B492" s="19"/>
      <c r="C492" s="19"/>
      <c r="D492" s="19"/>
      <c r="E492" s="19"/>
      <c r="F492" s="19"/>
    </row>
    <row r="493" spans="1:6" ht="15.75" customHeight="1" x14ac:dyDescent="0.3">
      <c r="A493" s="19"/>
      <c r="B493" s="19"/>
      <c r="C493" s="19"/>
      <c r="D493" s="19"/>
      <c r="E493" s="19"/>
      <c r="F493" s="19"/>
    </row>
    <row r="494" spans="1:6" ht="15.75" customHeight="1" x14ac:dyDescent="0.3">
      <c r="A494" s="19"/>
      <c r="B494" s="19"/>
      <c r="C494" s="19"/>
      <c r="D494" s="19"/>
      <c r="E494" s="19"/>
      <c r="F494" s="19"/>
    </row>
    <row r="495" spans="1:6" ht="15.75" customHeight="1" x14ac:dyDescent="0.3">
      <c r="A495" s="19"/>
      <c r="B495" s="19"/>
      <c r="C495" s="19"/>
      <c r="D495" s="19"/>
      <c r="E495" s="19"/>
      <c r="F495" s="19"/>
    </row>
    <row r="496" spans="1:6" ht="15.75" customHeight="1" x14ac:dyDescent="0.3">
      <c r="A496" s="19"/>
      <c r="B496" s="19"/>
      <c r="C496" s="19"/>
      <c r="D496" s="19"/>
      <c r="E496" s="19"/>
      <c r="F496" s="19"/>
    </row>
    <row r="497" spans="1:6" ht="15.75" customHeight="1" x14ac:dyDescent="0.3">
      <c r="A497" s="19"/>
      <c r="B497" s="19"/>
      <c r="C497" s="19"/>
      <c r="D497" s="19"/>
      <c r="E497" s="19"/>
      <c r="F497" s="19"/>
    </row>
    <row r="498" spans="1:6" ht="15.75" customHeight="1" x14ac:dyDescent="0.3">
      <c r="A498" s="19"/>
      <c r="B498" s="19"/>
      <c r="C498" s="19"/>
      <c r="D498" s="19"/>
      <c r="E498" s="19"/>
      <c r="F498" s="19"/>
    </row>
    <row r="499" spans="1:6" ht="15.75" customHeight="1" x14ac:dyDescent="0.3">
      <c r="A499" s="19"/>
      <c r="B499" s="19"/>
      <c r="C499" s="19"/>
      <c r="D499" s="19"/>
      <c r="E499" s="19"/>
      <c r="F499" s="19"/>
    </row>
    <row r="500" spans="1:6" ht="15.75" customHeight="1" x14ac:dyDescent="0.3">
      <c r="A500" s="19"/>
      <c r="B500" s="19"/>
      <c r="C500" s="19"/>
      <c r="D500" s="19"/>
      <c r="E500" s="19"/>
      <c r="F500" s="19"/>
    </row>
    <row r="501" spans="1:6" ht="15.75" customHeight="1" x14ac:dyDescent="0.3">
      <c r="A501" s="19"/>
      <c r="B501" s="19"/>
      <c r="C501" s="19"/>
      <c r="D501" s="19"/>
      <c r="E501" s="19"/>
      <c r="F501" s="19"/>
    </row>
    <row r="502" spans="1:6" ht="15.75" customHeight="1" x14ac:dyDescent="0.3">
      <c r="A502" s="19"/>
      <c r="B502" s="19"/>
      <c r="C502" s="19"/>
      <c r="D502" s="19"/>
      <c r="E502" s="19"/>
      <c r="F502" s="19"/>
    </row>
    <row r="503" spans="1:6" ht="15.75" customHeight="1" x14ac:dyDescent="0.3">
      <c r="A503" s="19"/>
      <c r="B503" s="19"/>
      <c r="C503" s="19"/>
      <c r="D503" s="19"/>
      <c r="E503" s="19"/>
      <c r="F503" s="19"/>
    </row>
    <row r="504" spans="1:6" ht="15.75" customHeight="1" x14ac:dyDescent="0.3">
      <c r="A504" s="19"/>
      <c r="B504" s="19"/>
      <c r="C504" s="19"/>
      <c r="D504" s="19"/>
      <c r="E504" s="19"/>
      <c r="F504" s="19"/>
    </row>
    <row r="505" spans="1:6" ht="15.75" customHeight="1" x14ac:dyDescent="0.3">
      <c r="A505" s="19"/>
      <c r="B505" s="19"/>
      <c r="C505" s="19"/>
      <c r="D505" s="19"/>
      <c r="E505" s="19"/>
      <c r="F505" s="19"/>
    </row>
    <row r="506" spans="1:6" ht="15.75" customHeight="1" x14ac:dyDescent="0.3">
      <c r="A506" s="19"/>
      <c r="B506" s="19"/>
      <c r="C506" s="19"/>
      <c r="D506" s="19"/>
      <c r="E506" s="19"/>
      <c r="F506" s="19"/>
    </row>
    <row r="507" spans="1:6" ht="15.75" customHeight="1" x14ac:dyDescent="0.3">
      <c r="A507" s="19"/>
      <c r="B507" s="19"/>
      <c r="C507" s="19"/>
      <c r="D507" s="19"/>
      <c r="E507" s="19"/>
      <c r="F507" s="19"/>
    </row>
    <row r="508" spans="1:6" ht="15.75" customHeight="1" x14ac:dyDescent="0.3">
      <c r="A508" s="19"/>
      <c r="B508" s="19"/>
      <c r="C508" s="19"/>
      <c r="D508" s="19"/>
      <c r="E508" s="19"/>
      <c r="F508" s="19"/>
    </row>
    <row r="509" spans="1:6" ht="15.75" customHeight="1" x14ac:dyDescent="0.3">
      <c r="A509" s="19"/>
      <c r="B509" s="19"/>
      <c r="C509" s="19"/>
      <c r="D509" s="19"/>
      <c r="E509" s="19"/>
      <c r="F509" s="19"/>
    </row>
    <row r="510" spans="1:6" ht="15.75" customHeight="1" x14ac:dyDescent="0.3">
      <c r="A510" s="19"/>
      <c r="B510" s="19"/>
      <c r="C510" s="19"/>
      <c r="D510" s="19"/>
      <c r="E510" s="19"/>
      <c r="F510" s="19"/>
    </row>
    <row r="511" spans="1:6" ht="15.75" customHeight="1" x14ac:dyDescent="0.3">
      <c r="A511" s="19"/>
      <c r="B511" s="19"/>
      <c r="C511" s="19"/>
      <c r="D511" s="19"/>
      <c r="E511" s="19"/>
      <c r="F511" s="19"/>
    </row>
    <row r="512" spans="1:6" ht="15.75" customHeight="1" x14ac:dyDescent="0.3">
      <c r="A512" s="19"/>
      <c r="B512" s="19"/>
      <c r="C512" s="19"/>
      <c r="D512" s="19"/>
      <c r="E512" s="19"/>
      <c r="F512" s="19"/>
    </row>
    <row r="513" spans="1:6" ht="15.75" customHeight="1" x14ac:dyDescent="0.3">
      <c r="A513" s="19"/>
      <c r="B513" s="19"/>
      <c r="C513" s="19"/>
      <c r="D513" s="19"/>
      <c r="E513" s="19"/>
      <c r="F513" s="19"/>
    </row>
    <row r="514" spans="1:6" ht="15.75" customHeight="1" x14ac:dyDescent="0.3">
      <c r="A514" s="19"/>
      <c r="B514" s="19"/>
      <c r="C514" s="19"/>
      <c r="D514" s="19"/>
      <c r="E514" s="19"/>
      <c r="F514" s="19"/>
    </row>
    <row r="515" spans="1:6" ht="15.75" customHeight="1" x14ac:dyDescent="0.3">
      <c r="A515" s="19"/>
      <c r="B515" s="19"/>
      <c r="C515" s="19"/>
      <c r="D515" s="19"/>
      <c r="E515" s="19"/>
      <c r="F515" s="19"/>
    </row>
    <row r="516" spans="1:6" ht="15.75" customHeight="1" x14ac:dyDescent="0.3">
      <c r="A516" s="19"/>
      <c r="B516" s="19"/>
      <c r="C516" s="19"/>
      <c r="D516" s="19"/>
      <c r="E516" s="19"/>
      <c r="F516" s="19"/>
    </row>
    <row r="517" spans="1:6" ht="15.75" customHeight="1" x14ac:dyDescent="0.3">
      <c r="A517" s="19"/>
      <c r="B517" s="19"/>
      <c r="C517" s="19"/>
      <c r="D517" s="19"/>
      <c r="E517" s="19"/>
      <c r="F517" s="19"/>
    </row>
    <row r="518" spans="1:6" ht="15.75" customHeight="1" x14ac:dyDescent="0.3">
      <c r="A518" s="19"/>
      <c r="B518" s="19"/>
      <c r="C518" s="19"/>
      <c r="D518" s="19"/>
      <c r="E518" s="19"/>
      <c r="F518" s="19"/>
    </row>
    <row r="519" spans="1:6" ht="15.75" customHeight="1" x14ac:dyDescent="0.3">
      <c r="A519" s="19"/>
      <c r="B519" s="19"/>
      <c r="C519" s="19"/>
      <c r="D519" s="19"/>
      <c r="E519" s="19"/>
      <c r="F519" s="19"/>
    </row>
    <row r="520" spans="1:6" ht="15.75" customHeight="1" x14ac:dyDescent="0.3">
      <c r="A520" s="19"/>
      <c r="B520" s="19"/>
      <c r="C520" s="19"/>
      <c r="D520" s="19"/>
      <c r="E520" s="19"/>
      <c r="F520" s="19"/>
    </row>
    <row r="521" spans="1:6" ht="15.75" customHeight="1" x14ac:dyDescent="0.3">
      <c r="A521" s="19"/>
      <c r="B521" s="19"/>
      <c r="C521" s="19"/>
      <c r="D521" s="19"/>
      <c r="E521" s="19"/>
      <c r="F521" s="19"/>
    </row>
    <row r="522" spans="1:6" ht="15.75" customHeight="1" x14ac:dyDescent="0.3">
      <c r="A522" s="19"/>
      <c r="B522" s="19"/>
      <c r="C522" s="19"/>
      <c r="D522" s="19"/>
      <c r="E522" s="19"/>
      <c r="F522" s="19"/>
    </row>
    <row r="523" spans="1:6" ht="15.75" customHeight="1" x14ac:dyDescent="0.3">
      <c r="A523" s="19"/>
      <c r="B523" s="19"/>
      <c r="C523" s="19"/>
      <c r="D523" s="19"/>
      <c r="E523" s="19"/>
      <c r="F523" s="19"/>
    </row>
    <row r="524" spans="1:6" ht="15.75" customHeight="1" x14ac:dyDescent="0.3">
      <c r="A524" s="19"/>
      <c r="B524" s="19"/>
      <c r="C524" s="19"/>
      <c r="D524" s="19"/>
      <c r="E524" s="19"/>
      <c r="F524" s="19"/>
    </row>
    <row r="525" spans="1:6" ht="15.75" customHeight="1" x14ac:dyDescent="0.3">
      <c r="A525" s="19"/>
      <c r="B525" s="19"/>
      <c r="C525" s="19"/>
      <c r="D525" s="19"/>
      <c r="E525" s="19"/>
      <c r="F525" s="19"/>
    </row>
    <row r="526" spans="1:6" ht="15.75" customHeight="1" x14ac:dyDescent="0.3">
      <c r="A526" s="19"/>
      <c r="B526" s="19"/>
      <c r="C526" s="19"/>
      <c r="D526" s="19"/>
      <c r="E526" s="19"/>
      <c r="F526" s="19"/>
    </row>
    <row r="527" spans="1:6" ht="15.75" customHeight="1" x14ac:dyDescent="0.3">
      <c r="A527" s="19"/>
      <c r="B527" s="19"/>
      <c r="C527" s="19"/>
      <c r="D527" s="19"/>
      <c r="E527" s="19"/>
      <c r="F527" s="19"/>
    </row>
    <row r="528" spans="1:6" ht="15.75" customHeight="1" x14ac:dyDescent="0.3">
      <c r="A528" s="19"/>
      <c r="B528" s="19"/>
      <c r="C528" s="19"/>
      <c r="D528" s="19"/>
      <c r="E528" s="19"/>
      <c r="F528" s="19"/>
    </row>
    <row r="529" spans="1:6" ht="15.75" customHeight="1" x14ac:dyDescent="0.3">
      <c r="A529" s="19"/>
      <c r="B529" s="19"/>
      <c r="C529" s="19"/>
      <c r="D529" s="19"/>
      <c r="E529" s="19"/>
      <c r="F529" s="19"/>
    </row>
    <row r="530" spans="1:6" ht="15.75" customHeight="1" x14ac:dyDescent="0.3">
      <c r="A530" s="19"/>
      <c r="B530" s="19"/>
      <c r="C530" s="19"/>
      <c r="D530" s="19"/>
      <c r="E530" s="19"/>
      <c r="F530" s="19"/>
    </row>
    <row r="531" spans="1:6" ht="15.75" customHeight="1" x14ac:dyDescent="0.3">
      <c r="A531" s="19"/>
      <c r="B531" s="19"/>
      <c r="C531" s="19"/>
      <c r="D531" s="19"/>
      <c r="E531" s="19"/>
      <c r="F531" s="19"/>
    </row>
    <row r="532" spans="1:6" ht="15.75" customHeight="1" x14ac:dyDescent="0.3">
      <c r="A532" s="19"/>
      <c r="B532" s="19"/>
      <c r="C532" s="19"/>
      <c r="D532" s="19"/>
      <c r="E532" s="19"/>
      <c r="F532" s="19"/>
    </row>
    <row r="533" spans="1:6" ht="15.75" customHeight="1" x14ac:dyDescent="0.3">
      <c r="A533" s="19"/>
      <c r="B533" s="19"/>
      <c r="C533" s="19"/>
      <c r="D533" s="19"/>
      <c r="E533" s="19"/>
      <c r="F533" s="19"/>
    </row>
    <row r="534" spans="1:6" ht="15.75" customHeight="1" x14ac:dyDescent="0.3">
      <c r="A534" s="19"/>
      <c r="B534" s="19"/>
      <c r="C534" s="19"/>
      <c r="D534" s="19"/>
      <c r="E534" s="19"/>
      <c r="F534" s="19"/>
    </row>
    <row r="535" spans="1:6" ht="15.75" customHeight="1" x14ac:dyDescent="0.3">
      <c r="A535" s="19"/>
      <c r="B535" s="19"/>
      <c r="C535" s="19"/>
      <c r="D535" s="19"/>
      <c r="E535" s="19"/>
      <c r="F535" s="19"/>
    </row>
    <row r="536" spans="1:6" ht="15.75" customHeight="1" x14ac:dyDescent="0.3">
      <c r="A536" s="19"/>
      <c r="B536" s="19"/>
      <c r="C536" s="19"/>
      <c r="D536" s="19"/>
      <c r="E536" s="19"/>
      <c r="F536" s="19"/>
    </row>
    <row r="537" spans="1:6" ht="15.75" customHeight="1" x14ac:dyDescent="0.3">
      <c r="A537" s="19"/>
      <c r="B537" s="19"/>
      <c r="C537" s="19"/>
      <c r="D537" s="19"/>
      <c r="E537" s="19"/>
      <c r="F537" s="19"/>
    </row>
    <row r="538" spans="1:6" ht="15.75" customHeight="1" x14ac:dyDescent="0.3">
      <c r="A538" s="19"/>
      <c r="B538" s="19"/>
      <c r="C538" s="19"/>
      <c r="D538" s="19"/>
      <c r="E538" s="19"/>
      <c r="F538" s="19"/>
    </row>
    <row r="539" spans="1:6" ht="15.75" customHeight="1" x14ac:dyDescent="0.3">
      <c r="A539" s="19"/>
      <c r="B539" s="19"/>
      <c r="C539" s="19"/>
      <c r="D539" s="19"/>
      <c r="E539" s="19"/>
      <c r="F539" s="19"/>
    </row>
    <row r="540" spans="1:6" ht="15.75" customHeight="1" x14ac:dyDescent="0.3">
      <c r="A540" s="19"/>
      <c r="B540" s="19"/>
      <c r="C540" s="19"/>
      <c r="D540" s="19"/>
      <c r="E540" s="19"/>
      <c r="F540" s="19"/>
    </row>
    <row r="541" spans="1:6" ht="15.75" customHeight="1" x14ac:dyDescent="0.3">
      <c r="A541" s="19"/>
      <c r="B541" s="19"/>
      <c r="C541" s="19"/>
      <c r="D541" s="19"/>
      <c r="E541" s="19"/>
      <c r="F541" s="19"/>
    </row>
    <row r="542" spans="1:6" ht="15.75" customHeight="1" x14ac:dyDescent="0.3">
      <c r="A542" s="19"/>
      <c r="B542" s="19"/>
      <c r="C542" s="19"/>
      <c r="D542" s="19"/>
      <c r="E542" s="19"/>
      <c r="F542" s="19"/>
    </row>
    <row r="543" spans="1:6" ht="15.75" customHeight="1" x14ac:dyDescent="0.3">
      <c r="A543" s="19"/>
      <c r="B543" s="19"/>
      <c r="C543" s="19"/>
      <c r="D543" s="19"/>
      <c r="E543" s="19"/>
      <c r="F543" s="19"/>
    </row>
    <row r="544" spans="1:6" ht="15.75" customHeight="1" x14ac:dyDescent="0.3">
      <c r="A544" s="19"/>
      <c r="B544" s="19"/>
      <c r="C544" s="19"/>
      <c r="D544" s="19"/>
      <c r="E544" s="19"/>
      <c r="F544" s="19"/>
    </row>
    <row r="545" spans="1:6" ht="15.75" customHeight="1" x14ac:dyDescent="0.3">
      <c r="A545" s="19"/>
      <c r="B545" s="19"/>
      <c r="C545" s="19"/>
      <c r="D545" s="19"/>
      <c r="E545" s="19"/>
      <c r="F545" s="19"/>
    </row>
    <row r="546" spans="1:6" ht="15.75" customHeight="1" x14ac:dyDescent="0.3">
      <c r="A546" s="19"/>
      <c r="B546" s="19"/>
      <c r="C546" s="19"/>
      <c r="D546" s="19"/>
      <c r="E546" s="19"/>
      <c r="F546" s="19"/>
    </row>
    <row r="547" spans="1:6" ht="15.75" customHeight="1" x14ac:dyDescent="0.3">
      <c r="A547" s="19"/>
      <c r="B547" s="19"/>
      <c r="C547" s="19"/>
      <c r="D547" s="19"/>
      <c r="E547" s="19"/>
      <c r="F547" s="19"/>
    </row>
    <row r="548" spans="1:6" ht="15.75" customHeight="1" x14ac:dyDescent="0.3">
      <c r="A548" s="19"/>
      <c r="B548" s="19"/>
      <c r="C548" s="19"/>
      <c r="D548" s="19"/>
      <c r="E548" s="19"/>
      <c r="F548" s="19"/>
    </row>
    <row r="549" spans="1:6" ht="15.75" customHeight="1" x14ac:dyDescent="0.3">
      <c r="A549" s="19"/>
      <c r="B549" s="19"/>
      <c r="C549" s="19"/>
      <c r="D549" s="19"/>
      <c r="E549" s="19"/>
      <c r="F549" s="19"/>
    </row>
    <row r="550" spans="1:6" ht="15.75" customHeight="1" x14ac:dyDescent="0.3">
      <c r="A550" s="19"/>
      <c r="B550" s="19"/>
      <c r="C550" s="19"/>
      <c r="D550" s="19"/>
      <c r="E550" s="19"/>
      <c r="F550" s="19"/>
    </row>
    <row r="551" spans="1:6" ht="15.75" customHeight="1" x14ac:dyDescent="0.3">
      <c r="A551" s="19"/>
      <c r="B551" s="19"/>
      <c r="C551" s="19"/>
      <c r="D551" s="19"/>
      <c r="E551" s="19"/>
      <c r="F551" s="19"/>
    </row>
    <row r="552" spans="1:6" ht="15.75" customHeight="1" x14ac:dyDescent="0.3">
      <c r="A552" s="19"/>
      <c r="B552" s="19"/>
      <c r="C552" s="19"/>
      <c r="D552" s="19"/>
      <c r="E552" s="19"/>
      <c r="F552" s="19"/>
    </row>
    <row r="553" spans="1:6" ht="15.75" customHeight="1" x14ac:dyDescent="0.3">
      <c r="A553" s="19"/>
      <c r="B553" s="19"/>
      <c r="C553" s="19"/>
      <c r="D553" s="19"/>
      <c r="E553" s="19"/>
      <c r="F553" s="19"/>
    </row>
    <row r="554" spans="1:6" ht="15.75" customHeight="1" x14ac:dyDescent="0.3">
      <c r="A554" s="19"/>
      <c r="B554" s="19"/>
      <c r="C554" s="19"/>
      <c r="D554" s="19"/>
      <c r="E554" s="19"/>
      <c r="F554" s="19"/>
    </row>
    <row r="555" spans="1:6" ht="15.75" customHeight="1" x14ac:dyDescent="0.3">
      <c r="A555" s="19"/>
      <c r="B555" s="19"/>
      <c r="C555" s="19"/>
      <c r="D555" s="19"/>
      <c r="E555" s="19"/>
      <c r="F555" s="19"/>
    </row>
    <row r="556" spans="1:6" ht="15.75" customHeight="1" x14ac:dyDescent="0.3">
      <c r="A556" s="19"/>
      <c r="B556" s="19"/>
      <c r="C556" s="19"/>
      <c r="D556" s="19"/>
      <c r="E556" s="19"/>
      <c r="F556" s="19"/>
    </row>
    <row r="557" spans="1:6" ht="15.75" customHeight="1" x14ac:dyDescent="0.3">
      <c r="A557" s="19"/>
      <c r="B557" s="19"/>
      <c r="C557" s="19"/>
      <c r="D557" s="19"/>
      <c r="E557" s="19"/>
      <c r="F557" s="19"/>
    </row>
    <row r="558" spans="1:6" ht="15.75" customHeight="1" x14ac:dyDescent="0.3">
      <c r="A558" s="19"/>
      <c r="B558" s="19"/>
      <c r="C558" s="19"/>
      <c r="D558" s="19"/>
      <c r="E558" s="19"/>
      <c r="F558" s="19"/>
    </row>
    <row r="559" spans="1:6" ht="15.75" customHeight="1" x14ac:dyDescent="0.3">
      <c r="A559" s="19"/>
      <c r="B559" s="19"/>
      <c r="C559" s="19"/>
      <c r="D559" s="19"/>
      <c r="E559" s="19"/>
      <c r="F559" s="19"/>
    </row>
    <row r="560" spans="1:6" ht="15.75" customHeight="1" x14ac:dyDescent="0.3">
      <c r="A560" s="19"/>
      <c r="B560" s="19"/>
      <c r="C560" s="19"/>
      <c r="D560" s="19"/>
      <c r="E560" s="19"/>
      <c r="F560" s="19"/>
    </row>
    <row r="561" spans="1:6" ht="15.75" customHeight="1" x14ac:dyDescent="0.3">
      <c r="A561" s="19"/>
      <c r="B561" s="19"/>
      <c r="C561" s="19"/>
      <c r="D561" s="19"/>
      <c r="E561" s="19"/>
      <c r="F561" s="19"/>
    </row>
    <row r="562" spans="1:6" ht="15.75" customHeight="1" x14ac:dyDescent="0.3">
      <c r="A562" s="19"/>
      <c r="B562" s="19"/>
      <c r="C562" s="19"/>
      <c r="D562" s="19"/>
      <c r="E562" s="19"/>
      <c r="F562" s="19"/>
    </row>
    <row r="563" spans="1:6" ht="15.75" customHeight="1" x14ac:dyDescent="0.3">
      <c r="A563" s="19"/>
      <c r="B563" s="19"/>
      <c r="C563" s="19"/>
      <c r="D563" s="19"/>
      <c r="E563" s="19"/>
      <c r="F563" s="19"/>
    </row>
    <row r="564" spans="1:6" ht="15.75" customHeight="1" x14ac:dyDescent="0.3">
      <c r="A564" s="19"/>
      <c r="B564" s="19"/>
      <c r="C564" s="19"/>
      <c r="D564" s="19"/>
      <c r="E564" s="19"/>
      <c r="F564" s="19"/>
    </row>
    <row r="565" spans="1:6" ht="15.75" customHeight="1" x14ac:dyDescent="0.3">
      <c r="A565" s="19"/>
      <c r="B565" s="19"/>
      <c r="C565" s="19"/>
      <c r="D565" s="19"/>
      <c r="E565" s="19"/>
      <c r="F565" s="19"/>
    </row>
    <row r="566" spans="1:6" ht="15.75" customHeight="1" x14ac:dyDescent="0.3">
      <c r="A566" s="19"/>
      <c r="B566" s="19"/>
      <c r="C566" s="19"/>
      <c r="D566" s="19"/>
      <c r="E566" s="19"/>
      <c r="F566" s="19"/>
    </row>
    <row r="567" spans="1:6" ht="15.75" customHeight="1" x14ac:dyDescent="0.3">
      <c r="A567" s="19"/>
      <c r="B567" s="19"/>
      <c r="C567" s="19"/>
      <c r="D567" s="19"/>
      <c r="E567" s="19"/>
      <c r="F567" s="19"/>
    </row>
    <row r="568" spans="1:6" ht="15.75" customHeight="1" x14ac:dyDescent="0.3">
      <c r="A568" s="19"/>
      <c r="B568" s="19"/>
      <c r="C568" s="19"/>
      <c r="D568" s="19"/>
      <c r="E568" s="19"/>
      <c r="F568" s="19"/>
    </row>
    <row r="569" spans="1:6" ht="15.75" customHeight="1" x14ac:dyDescent="0.3">
      <c r="A569" s="19"/>
      <c r="B569" s="19"/>
      <c r="C569" s="19"/>
      <c r="D569" s="19"/>
      <c r="E569" s="19"/>
      <c r="F569" s="19"/>
    </row>
    <row r="570" spans="1:6" ht="15.75" customHeight="1" x14ac:dyDescent="0.3">
      <c r="A570" s="19"/>
      <c r="B570" s="19"/>
      <c r="C570" s="19"/>
      <c r="D570" s="19"/>
      <c r="E570" s="19"/>
      <c r="F570" s="19"/>
    </row>
    <row r="571" spans="1:6" ht="15.75" customHeight="1" x14ac:dyDescent="0.3">
      <c r="A571" s="19"/>
      <c r="B571" s="19"/>
      <c r="C571" s="19"/>
      <c r="D571" s="19"/>
      <c r="E571" s="19"/>
      <c r="F571" s="19"/>
    </row>
    <row r="572" spans="1:6" ht="15.75" customHeight="1" x14ac:dyDescent="0.3">
      <c r="A572" s="19"/>
      <c r="B572" s="19"/>
      <c r="C572" s="19"/>
      <c r="D572" s="19"/>
      <c r="E572" s="19"/>
      <c r="F572" s="19"/>
    </row>
    <row r="573" spans="1:6" ht="15.75" customHeight="1" x14ac:dyDescent="0.3">
      <c r="A573" s="19"/>
      <c r="B573" s="19"/>
      <c r="C573" s="19"/>
      <c r="D573" s="19"/>
      <c r="E573" s="19"/>
      <c r="F573" s="19"/>
    </row>
    <row r="574" spans="1:6" ht="15.75" customHeight="1" x14ac:dyDescent="0.3">
      <c r="A574" s="19"/>
      <c r="B574" s="19"/>
      <c r="C574" s="19"/>
      <c r="D574" s="19"/>
      <c r="E574" s="19"/>
      <c r="F574" s="19"/>
    </row>
    <row r="575" spans="1:6" ht="15.75" customHeight="1" x14ac:dyDescent="0.3">
      <c r="A575" s="19"/>
      <c r="B575" s="19"/>
      <c r="C575" s="19"/>
      <c r="D575" s="19"/>
      <c r="E575" s="19"/>
      <c r="F575" s="19"/>
    </row>
    <row r="576" spans="1:6" ht="15.75" customHeight="1" x14ac:dyDescent="0.3">
      <c r="A576" s="19"/>
      <c r="B576" s="19"/>
      <c r="C576" s="19"/>
      <c r="D576" s="19"/>
      <c r="E576" s="19"/>
      <c r="F576" s="19"/>
    </row>
    <row r="577" spans="1:6" ht="15.75" customHeight="1" x14ac:dyDescent="0.3">
      <c r="A577" s="19"/>
      <c r="B577" s="19"/>
      <c r="C577" s="19"/>
      <c r="D577" s="19"/>
      <c r="E577" s="19"/>
      <c r="F577" s="19"/>
    </row>
    <row r="578" spans="1:6" ht="15.75" customHeight="1" x14ac:dyDescent="0.3">
      <c r="A578" s="19"/>
      <c r="B578" s="19"/>
      <c r="C578" s="19"/>
      <c r="D578" s="19"/>
      <c r="E578" s="19"/>
      <c r="F578" s="19"/>
    </row>
    <row r="579" spans="1:6" ht="15.75" customHeight="1" x14ac:dyDescent="0.3">
      <c r="A579" s="19"/>
      <c r="B579" s="19"/>
      <c r="C579" s="19"/>
      <c r="D579" s="19"/>
      <c r="E579" s="19"/>
      <c r="F579" s="19"/>
    </row>
    <row r="580" spans="1:6" ht="15.75" customHeight="1" x14ac:dyDescent="0.3">
      <c r="A580" s="19"/>
      <c r="B580" s="19"/>
      <c r="C580" s="19"/>
      <c r="D580" s="19"/>
      <c r="E580" s="19"/>
      <c r="F580" s="19"/>
    </row>
    <row r="581" spans="1:6" ht="15.75" customHeight="1" x14ac:dyDescent="0.3">
      <c r="A581" s="19"/>
      <c r="B581" s="19"/>
      <c r="C581" s="19"/>
      <c r="D581" s="19"/>
      <c r="E581" s="19"/>
      <c r="F581" s="19"/>
    </row>
    <row r="582" spans="1:6" ht="15.75" customHeight="1" x14ac:dyDescent="0.3">
      <c r="A582" s="19"/>
      <c r="B582" s="19"/>
      <c r="C582" s="19"/>
      <c r="D582" s="19"/>
      <c r="E582" s="19"/>
      <c r="F582" s="19"/>
    </row>
    <row r="583" spans="1:6" ht="15.75" customHeight="1" x14ac:dyDescent="0.3">
      <c r="A583" s="19"/>
      <c r="B583" s="19"/>
      <c r="C583" s="19"/>
      <c r="D583" s="19"/>
      <c r="E583" s="19"/>
      <c r="F583" s="19"/>
    </row>
    <row r="584" spans="1:6" ht="15.75" customHeight="1" x14ac:dyDescent="0.3">
      <c r="A584" s="19"/>
      <c r="B584" s="19"/>
      <c r="C584" s="19"/>
      <c r="D584" s="19"/>
      <c r="E584" s="19"/>
      <c r="F584" s="19"/>
    </row>
    <row r="585" spans="1:6" ht="15.75" customHeight="1" x14ac:dyDescent="0.3">
      <c r="A585" s="19"/>
      <c r="B585" s="19"/>
      <c r="C585" s="19"/>
      <c r="D585" s="19"/>
      <c r="E585" s="19"/>
      <c r="F585" s="19"/>
    </row>
    <row r="586" spans="1:6" ht="15.75" customHeight="1" x14ac:dyDescent="0.3">
      <c r="A586" s="19"/>
      <c r="B586" s="19"/>
      <c r="C586" s="19"/>
      <c r="D586" s="19"/>
      <c r="E586" s="19"/>
      <c r="F586" s="19"/>
    </row>
    <row r="587" spans="1:6" ht="15.75" customHeight="1" x14ac:dyDescent="0.3">
      <c r="A587" s="19"/>
      <c r="B587" s="19"/>
      <c r="C587" s="19"/>
      <c r="D587" s="19"/>
      <c r="E587" s="19"/>
      <c r="F587" s="19"/>
    </row>
    <row r="588" spans="1:6" ht="15.75" customHeight="1" x14ac:dyDescent="0.3">
      <c r="A588" s="19"/>
      <c r="B588" s="19"/>
      <c r="C588" s="19"/>
      <c r="D588" s="19"/>
      <c r="E588" s="19"/>
      <c r="F588" s="19"/>
    </row>
    <row r="589" spans="1:6" ht="15.75" customHeight="1" x14ac:dyDescent="0.3">
      <c r="A589" s="19"/>
      <c r="B589" s="19"/>
      <c r="C589" s="19"/>
      <c r="D589" s="19"/>
      <c r="E589" s="19"/>
      <c r="F589" s="19"/>
    </row>
    <row r="590" spans="1:6" ht="15.75" customHeight="1" x14ac:dyDescent="0.3">
      <c r="A590" s="19"/>
      <c r="B590" s="19"/>
      <c r="C590" s="19"/>
      <c r="D590" s="19"/>
      <c r="E590" s="19"/>
      <c r="F590" s="19"/>
    </row>
    <row r="591" spans="1:6" ht="15.75" customHeight="1" x14ac:dyDescent="0.3">
      <c r="A591" s="19"/>
      <c r="B591" s="19"/>
      <c r="C591" s="19"/>
      <c r="D591" s="19"/>
      <c r="E591" s="19"/>
      <c r="F591" s="19"/>
    </row>
    <row r="592" spans="1:6" ht="15.75" customHeight="1" x14ac:dyDescent="0.3">
      <c r="A592" s="19"/>
      <c r="B592" s="19"/>
      <c r="C592" s="19"/>
      <c r="D592" s="19"/>
      <c r="E592" s="19"/>
      <c r="F592" s="19"/>
    </row>
    <row r="593" spans="1:6" ht="15.75" customHeight="1" x14ac:dyDescent="0.3">
      <c r="A593" s="19"/>
      <c r="B593" s="19"/>
      <c r="C593" s="19"/>
      <c r="D593" s="19"/>
      <c r="E593" s="19"/>
      <c r="F593" s="19"/>
    </row>
    <row r="594" spans="1:6" ht="15.75" customHeight="1" x14ac:dyDescent="0.3">
      <c r="A594" s="19"/>
      <c r="B594" s="19"/>
      <c r="C594" s="19"/>
      <c r="D594" s="19"/>
      <c r="E594" s="19"/>
      <c r="F594" s="19"/>
    </row>
    <row r="595" spans="1:6" ht="15.75" customHeight="1" x14ac:dyDescent="0.3">
      <c r="A595" s="19"/>
      <c r="B595" s="19"/>
      <c r="C595" s="19"/>
      <c r="D595" s="19"/>
      <c r="E595" s="19"/>
      <c r="F595" s="19"/>
    </row>
    <row r="596" spans="1:6" ht="15.75" customHeight="1" x14ac:dyDescent="0.3">
      <c r="A596" s="19"/>
      <c r="B596" s="19"/>
      <c r="C596" s="19"/>
      <c r="D596" s="19"/>
      <c r="E596" s="19"/>
      <c r="F596" s="19"/>
    </row>
    <row r="597" spans="1:6" ht="15.75" customHeight="1" x14ac:dyDescent="0.3">
      <c r="A597" s="19"/>
      <c r="B597" s="19"/>
      <c r="C597" s="19"/>
      <c r="D597" s="19"/>
      <c r="E597" s="19"/>
      <c r="F597" s="19"/>
    </row>
    <row r="598" spans="1:6" ht="15.75" customHeight="1" x14ac:dyDescent="0.3">
      <c r="A598" s="19"/>
      <c r="B598" s="19"/>
      <c r="C598" s="19"/>
      <c r="D598" s="19"/>
      <c r="E598" s="19"/>
      <c r="F598" s="19"/>
    </row>
    <row r="599" spans="1:6" ht="15.75" customHeight="1" x14ac:dyDescent="0.3">
      <c r="A599" s="19"/>
      <c r="B599" s="19"/>
      <c r="C599" s="19"/>
      <c r="D599" s="19"/>
      <c r="E599" s="19"/>
      <c r="F599" s="19"/>
    </row>
    <row r="600" spans="1:6" ht="15.75" customHeight="1" x14ac:dyDescent="0.3">
      <c r="A600" s="19"/>
      <c r="B600" s="19"/>
      <c r="C600" s="19"/>
      <c r="D600" s="19"/>
      <c r="E600" s="19"/>
      <c r="F600" s="19"/>
    </row>
    <row r="601" spans="1:6" ht="15.75" customHeight="1" x14ac:dyDescent="0.3">
      <c r="A601" s="19"/>
      <c r="B601" s="19"/>
      <c r="C601" s="19"/>
      <c r="D601" s="19"/>
      <c r="E601" s="19"/>
      <c r="F601" s="19"/>
    </row>
    <row r="602" spans="1:6" ht="15.75" customHeight="1" x14ac:dyDescent="0.3">
      <c r="A602" s="19"/>
      <c r="B602" s="19"/>
      <c r="C602" s="19"/>
      <c r="D602" s="19"/>
      <c r="E602" s="19"/>
      <c r="F602" s="19"/>
    </row>
    <row r="603" spans="1:6" ht="15.75" customHeight="1" x14ac:dyDescent="0.3">
      <c r="A603" s="19"/>
      <c r="B603" s="19"/>
      <c r="C603" s="19"/>
      <c r="D603" s="19"/>
      <c r="E603" s="19"/>
      <c r="F603" s="19"/>
    </row>
    <row r="604" spans="1:6" ht="15.75" customHeight="1" x14ac:dyDescent="0.3">
      <c r="A604" s="19"/>
      <c r="B604" s="19"/>
      <c r="C604" s="19"/>
      <c r="D604" s="19"/>
      <c r="E604" s="19"/>
      <c r="F604" s="19"/>
    </row>
    <row r="605" spans="1:6" ht="15.75" customHeight="1" x14ac:dyDescent="0.3">
      <c r="A605" s="19"/>
      <c r="B605" s="19"/>
      <c r="C605" s="19"/>
      <c r="D605" s="19"/>
      <c r="E605" s="19"/>
      <c r="F605" s="19"/>
    </row>
    <row r="606" spans="1:6" ht="15.75" customHeight="1" x14ac:dyDescent="0.3">
      <c r="A606" s="19"/>
      <c r="B606" s="19"/>
      <c r="C606" s="19"/>
      <c r="D606" s="19"/>
      <c r="E606" s="19"/>
      <c r="F606" s="19"/>
    </row>
    <row r="607" spans="1:6" ht="15.75" customHeight="1" x14ac:dyDescent="0.3">
      <c r="A607" s="19"/>
      <c r="B607" s="19"/>
      <c r="C607" s="19"/>
      <c r="D607" s="19"/>
      <c r="E607" s="19"/>
      <c r="F607" s="19"/>
    </row>
    <row r="608" spans="1:6" ht="15.75" customHeight="1" x14ac:dyDescent="0.3">
      <c r="A608" s="19"/>
      <c r="B608" s="19"/>
      <c r="C608" s="19"/>
      <c r="D608" s="19"/>
      <c r="E608" s="19"/>
      <c r="F608" s="19"/>
    </row>
    <row r="609" spans="1:6" ht="15.75" customHeight="1" x14ac:dyDescent="0.3">
      <c r="A609" s="19"/>
      <c r="B609" s="19"/>
      <c r="C609" s="19"/>
      <c r="D609" s="19"/>
      <c r="E609" s="19"/>
      <c r="F609" s="19"/>
    </row>
    <row r="610" spans="1:6" ht="15.75" customHeight="1" x14ac:dyDescent="0.3">
      <c r="A610" s="19"/>
      <c r="B610" s="19"/>
      <c r="C610" s="19"/>
      <c r="D610" s="19"/>
      <c r="E610" s="19"/>
      <c r="F610" s="19"/>
    </row>
    <row r="611" spans="1:6" ht="15.75" customHeight="1" x14ac:dyDescent="0.3">
      <c r="A611" s="19"/>
      <c r="B611" s="19"/>
      <c r="C611" s="19"/>
      <c r="D611" s="19"/>
      <c r="E611" s="19"/>
      <c r="F611" s="19"/>
    </row>
    <row r="612" spans="1:6" ht="15.75" customHeight="1" x14ac:dyDescent="0.3">
      <c r="A612" s="19"/>
      <c r="B612" s="19"/>
      <c r="C612" s="19"/>
      <c r="D612" s="19"/>
      <c r="E612" s="19"/>
      <c r="F612" s="19"/>
    </row>
    <row r="613" spans="1:6" ht="15.75" customHeight="1" x14ac:dyDescent="0.3">
      <c r="A613" s="19"/>
      <c r="B613" s="19"/>
      <c r="C613" s="19"/>
      <c r="D613" s="19"/>
      <c r="E613" s="19"/>
      <c r="F613" s="19"/>
    </row>
    <row r="614" spans="1:6" ht="15.75" customHeight="1" x14ac:dyDescent="0.3">
      <c r="A614" s="19"/>
      <c r="B614" s="19"/>
      <c r="C614" s="19"/>
      <c r="D614" s="19"/>
      <c r="E614" s="19"/>
      <c r="F614" s="19"/>
    </row>
    <row r="615" spans="1:6" ht="15.75" customHeight="1" x14ac:dyDescent="0.3">
      <c r="A615" s="19"/>
      <c r="B615" s="19"/>
      <c r="C615" s="19"/>
      <c r="D615" s="19"/>
      <c r="E615" s="19"/>
      <c r="F615" s="19"/>
    </row>
    <row r="616" spans="1:6" ht="15.75" customHeight="1" x14ac:dyDescent="0.3">
      <c r="A616" s="19"/>
      <c r="B616" s="19"/>
      <c r="C616" s="19"/>
      <c r="D616" s="19"/>
      <c r="E616" s="19"/>
      <c r="F616" s="19"/>
    </row>
    <row r="617" spans="1:6" ht="15.75" customHeight="1" x14ac:dyDescent="0.3">
      <c r="A617" s="19"/>
      <c r="B617" s="19"/>
      <c r="C617" s="19"/>
      <c r="D617" s="19"/>
      <c r="E617" s="19"/>
      <c r="F617" s="19"/>
    </row>
    <row r="618" spans="1:6" ht="15.75" customHeight="1" x14ac:dyDescent="0.3">
      <c r="A618" s="19"/>
      <c r="B618" s="19"/>
      <c r="C618" s="19"/>
      <c r="D618" s="19"/>
      <c r="E618" s="19"/>
      <c r="F618" s="19"/>
    </row>
    <row r="619" spans="1:6" ht="15.75" customHeight="1" x14ac:dyDescent="0.3">
      <c r="A619" s="19"/>
      <c r="B619" s="19"/>
      <c r="C619" s="19"/>
      <c r="D619" s="19"/>
      <c r="E619" s="19"/>
      <c r="F619" s="19"/>
    </row>
    <row r="620" spans="1:6" ht="15.75" customHeight="1" x14ac:dyDescent="0.3">
      <c r="A620" s="19"/>
      <c r="B620" s="19"/>
      <c r="C620" s="19"/>
      <c r="D620" s="19"/>
      <c r="E620" s="19"/>
      <c r="F620" s="19"/>
    </row>
    <row r="621" spans="1:6" ht="15.75" customHeight="1" x14ac:dyDescent="0.3">
      <c r="A621" s="19"/>
      <c r="B621" s="19"/>
      <c r="C621" s="19"/>
      <c r="D621" s="19"/>
      <c r="E621" s="19"/>
      <c r="F621" s="19"/>
    </row>
    <row r="622" spans="1:6" ht="15.75" customHeight="1" x14ac:dyDescent="0.3">
      <c r="A622" s="19"/>
      <c r="B622" s="19"/>
      <c r="C622" s="19"/>
      <c r="D622" s="19"/>
      <c r="E622" s="19"/>
      <c r="F622" s="19"/>
    </row>
    <row r="623" spans="1:6" ht="15.75" customHeight="1" x14ac:dyDescent="0.3">
      <c r="A623" s="19"/>
      <c r="B623" s="19"/>
      <c r="C623" s="19"/>
      <c r="D623" s="19"/>
      <c r="E623" s="19"/>
      <c r="F623" s="19"/>
    </row>
    <row r="624" spans="1:6" ht="15.75" customHeight="1" x14ac:dyDescent="0.3">
      <c r="A624" s="19"/>
      <c r="B624" s="19"/>
      <c r="C624" s="19"/>
      <c r="D624" s="19"/>
      <c r="E624" s="19"/>
      <c r="F624" s="19"/>
    </row>
    <row r="625" spans="1:6" ht="15.75" customHeight="1" x14ac:dyDescent="0.3">
      <c r="A625" s="19"/>
      <c r="B625" s="19"/>
      <c r="C625" s="19"/>
      <c r="D625" s="19"/>
      <c r="E625" s="19"/>
      <c r="F625" s="19"/>
    </row>
    <row r="626" spans="1:6" ht="15.75" customHeight="1" x14ac:dyDescent="0.3">
      <c r="A626" s="19"/>
      <c r="B626" s="19"/>
      <c r="C626" s="19"/>
      <c r="D626" s="19"/>
      <c r="E626" s="19"/>
      <c r="F626" s="19"/>
    </row>
    <row r="627" spans="1:6" ht="15.75" customHeight="1" x14ac:dyDescent="0.3">
      <c r="A627" s="19"/>
      <c r="B627" s="19"/>
      <c r="C627" s="19"/>
      <c r="D627" s="19"/>
      <c r="E627" s="19"/>
      <c r="F627" s="19"/>
    </row>
    <row r="628" spans="1:6" ht="15.75" customHeight="1" x14ac:dyDescent="0.3">
      <c r="A628" s="19"/>
      <c r="B628" s="19"/>
      <c r="C628" s="19"/>
      <c r="D628" s="19"/>
      <c r="E628" s="19"/>
      <c r="F628" s="19"/>
    </row>
    <row r="629" spans="1:6" ht="15.75" customHeight="1" x14ac:dyDescent="0.3">
      <c r="A629" s="19"/>
      <c r="B629" s="19"/>
      <c r="C629" s="19"/>
      <c r="D629" s="19"/>
      <c r="E629" s="19"/>
      <c r="F629" s="19"/>
    </row>
    <row r="630" spans="1:6" ht="15.75" customHeight="1" x14ac:dyDescent="0.3">
      <c r="A630" s="19"/>
      <c r="B630" s="19"/>
      <c r="C630" s="19"/>
      <c r="D630" s="19"/>
      <c r="E630" s="19"/>
      <c r="F630" s="19"/>
    </row>
    <row r="631" spans="1:6" ht="15.75" customHeight="1" x14ac:dyDescent="0.3">
      <c r="A631" s="19"/>
      <c r="B631" s="19"/>
      <c r="C631" s="19"/>
      <c r="D631" s="19"/>
      <c r="E631" s="19"/>
      <c r="F631" s="19"/>
    </row>
    <row r="632" spans="1:6" ht="15.75" customHeight="1" x14ac:dyDescent="0.3">
      <c r="A632" s="19"/>
      <c r="B632" s="19"/>
      <c r="C632" s="19"/>
      <c r="D632" s="19"/>
      <c r="E632" s="19"/>
      <c r="F632" s="19"/>
    </row>
    <row r="633" spans="1:6" ht="15.75" customHeight="1" x14ac:dyDescent="0.3">
      <c r="A633" s="19"/>
      <c r="B633" s="19"/>
      <c r="C633" s="19"/>
      <c r="D633" s="19"/>
      <c r="E633" s="19"/>
      <c r="F633" s="19"/>
    </row>
    <row r="634" spans="1:6" ht="15.75" customHeight="1" x14ac:dyDescent="0.3">
      <c r="A634" s="19"/>
      <c r="B634" s="19"/>
      <c r="C634" s="19"/>
      <c r="D634" s="19"/>
      <c r="E634" s="19"/>
      <c r="F634" s="19"/>
    </row>
    <row r="635" spans="1:6" ht="15.75" customHeight="1" x14ac:dyDescent="0.3">
      <c r="A635" s="19"/>
      <c r="B635" s="19"/>
      <c r="C635" s="19"/>
      <c r="D635" s="19"/>
      <c r="E635" s="19"/>
      <c r="F635" s="19"/>
    </row>
    <row r="636" spans="1:6" ht="15.75" customHeight="1" x14ac:dyDescent="0.3">
      <c r="A636" s="19"/>
      <c r="B636" s="19"/>
      <c r="C636" s="19"/>
      <c r="D636" s="19"/>
      <c r="E636" s="19"/>
      <c r="F636" s="19"/>
    </row>
    <row r="637" spans="1:6" ht="15.75" customHeight="1" x14ac:dyDescent="0.3">
      <c r="A637" s="19"/>
      <c r="B637" s="19"/>
      <c r="C637" s="19"/>
      <c r="D637" s="19"/>
      <c r="E637" s="19"/>
      <c r="F637" s="19"/>
    </row>
    <row r="638" spans="1:6" ht="15.75" customHeight="1" x14ac:dyDescent="0.3">
      <c r="A638" s="19"/>
      <c r="B638" s="19"/>
      <c r="C638" s="19"/>
      <c r="D638" s="19"/>
      <c r="E638" s="19"/>
      <c r="F638" s="19"/>
    </row>
    <row r="639" spans="1:6" ht="15.75" customHeight="1" x14ac:dyDescent="0.3">
      <c r="A639" s="19"/>
      <c r="B639" s="19"/>
      <c r="C639" s="19"/>
      <c r="D639" s="19"/>
      <c r="E639" s="19"/>
      <c r="F639" s="19"/>
    </row>
    <row r="640" spans="1:6" ht="15.75" customHeight="1" x14ac:dyDescent="0.3">
      <c r="A640" s="19"/>
      <c r="B640" s="19"/>
      <c r="C640" s="19"/>
      <c r="D640" s="19"/>
      <c r="E640" s="19"/>
      <c r="F640" s="19"/>
    </row>
    <row r="641" spans="1:6" ht="15.75" customHeight="1" x14ac:dyDescent="0.3">
      <c r="A641" s="19"/>
      <c r="B641" s="19"/>
      <c r="C641" s="19"/>
      <c r="D641" s="19"/>
      <c r="E641" s="19"/>
      <c r="F641" s="19"/>
    </row>
    <row r="642" spans="1:6" ht="15.75" customHeight="1" x14ac:dyDescent="0.3">
      <c r="A642" s="19"/>
      <c r="B642" s="19"/>
      <c r="C642" s="19"/>
      <c r="D642" s="19"/>
      <c r="E642" s="19"/>
      <c r="F642" s="19"/>
    </row>
    <row r="643" spans="1:6" ht="15.75" customHeight="1" x14ac:dyDescent="0.3">
      <c r="A643" s="19"/>
      <c r="B643" s="19"/>
      <c r="C643" s="19"/>
      <c r="D643" s="19"/>
      <c r="E643" s="19"/>
      <c r="F643" s="19"/>
    </row>
    <row r="644" spans="1:6" ht="15.75" customHeight="1" x14ac:dyDescent="0.3">
      <c r="A644" s="19"/>
      <c r="B644" s="19"/>
      <c r="C644" s="19"/>
      <c r="D644" s="19"/>
      <c r="E644" s="19"/>
      <c r="F644" s="19"/>
    </row>
    <row r="645" spans="1:6" ht="15.75" customHeight="1" x14ac:dyDescent="0.3">
      <c r="A645" s="19"/>
      <c r="B645" s="19"/>
      <c r="C645" s="19"/>
      <c r="D645" s="19"/>
      <c r="E645" s="19"/>
      <c r="F645" s="19"/>
    </row>
    <row r="646" spans="1:6" ht="15.75" customHeight="1" x14ac:dyDescent="0.3">
      <c r="A646" s="19"/>
      <c r="B646" s="19"/>
      <c r="C646" s="19"/>
      <c r="D646" s="19"/>
      <c r="E646" s="19"/>
      <c r="F646" s="19"/>
    </row>
    <row r="647" spans="1:6" ht="15.75" customHeight="1" x14ac:dyDescent="0.3">
      <c r="A647" s="19"/>
      <c r="B647" s="19"/>
      <c r="C647" s="19"/>
      <c r="D647" s="19"/>
      <c r="E647" s="19"/>
      <c r="F647" s="19"/>
    </row>
    <row r="648" spans="1:6" ht="15.75" customHeight="1" x14ac:dyDescent="0.3">
      <c r="A648" s="19"/>
      <c r="B648" s="19"/>
      <c r="C648" s="19"/>
      <c r="D648" s="19"/>
      <c r="E648" s="19"/>
      <c r="F648" s="19"/>
    </row>
    <row r="649" spans="1:6" ht="15.75" customHeight="1" x14ac:dyDescent="0.3">
      <c r="A649" s="19"/>
      <c r="B649" s="19"/>
      <c r="C649" s="19"/>
      <c r="D649" s="19"/>
      <c r="E649" s="19"/>
      <c r="F649" s="19"/>
    </row>
    <row r="650" spans="1:6" ht="15.75" customHeight="1" x14ac:dyDescent="0.3">
      <c r="A650" s="19"/>
      <c r="B650" s="19"/>
      <c r="C650" s="19"/>
      <c r="D650" s="19"/>
      <c r="E650" s="19"/>
      <c r="F650" s="19"/>
    </row>
    <row r="651" spans="1:6" ht="15.75" customHeight="1" x14ac:dyDescent="0.3">
      <c r="A651" s="19"/>
      <c r="B651" s="19"/>
      <c r="C651" s="19"/>
      <c r="D651" s="19"/>
      <c r="E651" s="19"/>
      <c r="F651" s="19"/>
    </row>
    <row r="652" spans="1:6" ht="15.75" customHeight="1" x14ac:dyDescent="0.3">
      <c r="A652" s="19"/>
      <c r="B652" s="19"/>
      <c r="C652" s="19"/>
      <c r="D652" s="19"/>
      <c r="E652" s="19"/>
      <c r="F652" s="19"/>
    </row>
    <row r="653" spans="1:6" ht="15.75" customHeight="1" x14ac:dyDescent="0.3">
      <c r="A653" s="19"/>
      <c r="B653" s="19"/>
      <c r="C653" s="19"/>
      <c r="D653" s="19"/>
      <c r="E653" s="19"/>
      <c r="F653" s="19"/>
    </row>
    <row r="654" spans="1:6" ht="15.75" customHeight="1" x14ac:dyDescent="0.3">
      <c r="A654" s="19"/>
      <c r="B654" s="19"/>
      <c r="C654" s="19"/>
      <c r="D654" s="19"/>
      <c r="E654" s="19"/>
      <c r="F654" s="19"/>
    </row>
    <row r="655" spans="1:6" ht="15.75" customHeight="1" x14ac:dyDescent="0.3">
      <c r="A655" s="19"/>
      <c r="B655" s="19"/>
      <c r="C655" s="19"/>
      <c r="D655" s="19"/>
      <c r="E655" s="19"/>
      <c r="F655" s="19"/>
    </row>
    <row r="656" spans="1:6" ht="15.75" customHeight="1" x14ac:dyDescent="0.3">
      <c r="A656" s="19"/>
      <c r="B656" s="19"/>
      <c r="C656" s="19"/>
      <c r="D656" s="19"/>
      <c r="E656" s="19"/>
      <c r="F656" s="19"/>
    </row>
    <row r="657" spans="1:6" ht="15.75" customHeight="1" x14ac:dyDescent="0.3">
      <c r="A657" s="19"/>
      <c r="B657" s="19"/>
      <c r="C657" s="19"/>
      <c r="D657" s="19"/>
      <c r="E657" s="19"/>
      <c r="F657" s="19"/>
    </row>
    <row r="658" spans="1:6" ht="15.75" customHeight="1" x14ac:dyDescent="0.3">
      <c r="A658" s="19"/>
      <c r="B658" s="19"/>
      <c r="C658" s="19"/>
      <c r="D658" s="19"/>
      <c r="E658" s="19"/>
      <c r="F658" s="19"/>
    </row>
    <row r="659" spans="1:6" ht="15.75" customHeight="1" x14ac:dyDescent="0.3">
      <c r="A659" s="19"/>
      <c r="B659" s="19"/>
      <c r="C659" s="19"/>
      <c r="D659" s="19"/>
      <c r="E659" s="19"/>
      <c r="F659" s="19"/>
    </row>
    <row r="660" spans="1:6" ht="15.75" customHeight="1" x14ac:dyDescent="0.3">
      <c r="A660" s="19"/>
      <c r="B660" s="19"/>
      <c r="C660" s="19"/>
      <c r="D660" s="19"/>
      <c r="E660" s="19"/>
      <c r="F660" s="19"/>
    </row>
    <row r="661" spans="1:6" ht="15.75" customHeight="1" x14ac:dyDescent="0.3">
      <c r="A661" s="19"/>
      <c r="B661" s="19"/>
      <c r="C661" s="19"/>
      <c r="D661" s="19"/>
      <c r="E661" s="19"/>
      <c r="F661" s="19"/>
    </row>
    <row r="662" spans="1:6" ht="15.75" customHeight="1" x14ac:dyDescent="0.3">
      <c r="A662" s="19"/>
      <c r="B662" s="19"/>
      <c r="C662" s="19"/>
      <c r="D662" s="19"/>
      <c r="E662" s="19"/>
      <c r="F662" s="19"/>
    </row>
    <row r="663" spans="1:6" ht="15.75" customHeight="1" x14ac:dyDescent="0.3">
      <c r="A663" s="19"/>
      <c r="B663" s="19"/>
      <c r="C663" s="19"/>
      <c r="D663" s="19"/>
      <c r="E663" s="19"/>
      <c r="F663" s="19"/>
    </row>
    <row r="664" spans="1:6" ht="15.75" customHeight="1" x14ac:dyDescent="0.3">
      <c r="A664" s="19"/>
      <c r="B664" s="19"/>
      <c r="C664" s="19"/>
      <c r="D664" s="19"/>
      <c r="E664" s="19"/>
      <c r="F664" s="19"/>
    </row>
    <row r="665" spans="1:6" ht="15.75" customHeight="1" x14ac:dyDescent="0.3">
      <c r="A665" s="19"/>
      <c r="B665" s="19"/>
      <c r="C665" s="19"/>
      <c r="D665" s="19"/>
      <c r="E665" s="19"/>
      <c r="F665" s="19"/>
    </row>
    <row r="666" spans="1:6" ht="15.75" customHeight="1" x14ac:dyDescent="0.3">
      <c r="A666" s="19"/>
      <c r="B666" s="19"/>
      <c r="C666" s="19"/>
      <c r="D666" s="19"/>
      <c r="E666" s="19"/>
      <c r="F666" s="19"/>
    </row>
    <row r="667" spans="1:6" ht="15.75" customHeight="1" x14ac:dyDescent="0.3">
      <c r="A667" s="19"/>
      <c r="B667" s="19"/>
      <c r="C667" s="19"/>
      <c r="D667" s="19"/>
      <c r="E667" s="19"/>
      <c r="F667" s="19"/>
    </row>
    <row r="668" spans="1:6" ht="15.75" customHeight="1" x14ac:dyDescent="0.3">
      <c r="A668" s="19"/>
      <c r="B668" s="19"/>
      <c r="C668" s="19"/>
      <c r="D668" s="19"/>
      <c r="E668" s="19"/>
      <c r="F668" s="19"/>
    </row>
    <row r="669" spans="1:6" ht="15.75" customHeight="1" x14ac:dyDescent="0.3">
      <c r="A669" s="19"/>
      <c r="B669" s="19"/>
      <c r="C669" s="19"/>
      <c r="D669" s="19"/>
      <c r="E669" s="19"/>
      <c r="F669" s="19"/>
    </row>
    <row r="670" spans="1:6" ht="15.75" customHeight="1" x14ac:dyDescent="0.3">
      <c r="A670" s="19"/>
      <c r="B670" s="19"/>
      <c r="C670" s="19"/>
      <c r="D670" s="19"/>
      <c r="E670" s="19"/>
      <c r="F670" s="19"/>
    </row>
    <row r="671" spans="1:6" ht="15.75" customHeight="1" x14ac:dyDescent="0.3">
      <c r="A671" s="19"/>
      <c r="B671" s="19"/>
      <c r="C671" s="19"/>
      <c r="D671" s="19"/>
      <c r="E671" s="19"/>
      <c r="F671" s="19"/>
    </row>
    <row r="672" spans="1:6" ht="15.75" customHeight="1" x14ac:dyDescent="0.3">
      <c r="A672" s="19"/>
      <c r="B672" s="19"/>
      <c r="C672" s="19"/>
      <c r="D672" s="19"/>
      <c r="E672" s="19"/>
      <c r="F672" s="19"/>
    </row>
    <row r="673" spans="1:6" ht="15.75" customHeight="1" x14ac:dyDescent="0.3">
      <c r="A673" s="19"/>
      <c r="B673" s="19"/>
      <c r="C673" s="19"/>
      <c r="D673" s="19"/>
      <c r="E673" s="19"/>
      <c r="F673" s="19"/>
    </row>
    <row r="674" spans="1:6" ht="15.75" customHeight="1" x14ac:dyDescent="0.3">
      <c r="A674" s="19"/>
      <c r="B674" s="19"/>
      <c r="C674" s="19"/>
      <c r="D674" s="19"/>
      <c r="E674" s="19"/>
      <c r="F674" s="19"/>
    </row>
    <row r="675" spans="1:6" ht="15.75" customHeight="1" x14ac:dyDescent="0.3">
      <c r="A675" s="19"/>
      <c r="B675" s="19"/>
      <c r="C675" s="19"/>
      <c r="D675" s="19"/>
      <c r="E675" s="19"/>
      <c r="F675" s="19"/>
    </row>
    <row r="676" spans="1:6" ht="15.75" customHeight="1" x14ac:dyDescent="0.3">
      <c r="A676" s="19"/>
      <c r="B676" s="19"/>
      <c r="C676" s="19"/>
      <c r="D676" s="19"/>
      <c r="E676" s="19"/>
      <c r="F676" s="19"/>
    </row>
    <row r="677" spans="1:6" ht="15.75" customHeight="1" x14ac:dyDescent="0.3">
      <c r="A677" s="19"/>
      <c r="B677" s="19"/>
      <c r="C677" s="19"/>
      <c r="D677" s="19"/>
      <c r="E677" s="19"/>
      <c r="F677" s="19"/>
    </row>
    <row r="678" spans="1:6" ht="15.75" customHeight="1" x14ac:dyDescent="0.3">
      <c r="A678" s="19"/>
      <c r="B678" s="19"/>
      <c r="C678" s="19"/>
      <c r="D678" s="19"/>
      <c r="E678" s="19"/>
      <c r="F678" s="19"/>
    </row>
    <row r="679" spans="1:6" ht="15.75" customHeight="1" x14ac:dyDescent="0.3">
      <c r="A679" s="19"/>
      <c r="B679" s="19"/>
      <c r="C679" s="19"/>
      <c r="D679" s="19"/>
      <c r="E679" s="19"/>
      <c r="F679" s="19"/>
    </row>
    <row r="680" spans="1:6" ht="15.75" customHeight="1" x14ac:dyDescent="0.3">
      <c r="A680" s="19"/>
      <c r="B680" s="19"/>
      <c r="C680" s="19"/>
      <c r="D680" s="19"/>
      <c r="E680" s="19"/>
      <c r="F680" s="19"/>
    </row>
    <row r="681" spans="1:6" ht="15.75" customHeight="1" x14ac:dyDescent="0.3">
      <c r="A681" s="19"/>
      <c r="B681" s="19"/>
      <c r="C681" s="19"/>
      <c r="D681" s="19"/>
      <c r="E681" s="19"/>
      <c r="F681" s="19"/>
    </row>
    <row r="682" spans="1:6" ht="15.75" customHeight="1" x14ac:dyDescent="0.3">
      <c r="A682" s="19"/>
      <c r="B682" s="19"/>
      <c r="C682" s="19"/>
      <c r="D682" s="19"/>
      <c r="E682" s="19"/>
      <c r="F682" s="19"/>
    </row>
    <row r="683" spans="1:6" ht="15.75" customHeight="1" x14ac:dyDescent="0.3">
      <c r="A683" s="19"/>
      <c r="B683" s="19"/>
      <c r="C683" s="19"/>
      <c r="D683" s="19"/>
      <c r="E683" s="19"/>
      <c r="F683" s="19"/>
    </row>
    <row r="684" spans="1:6" ht="15.75" customHeight="1" x14ac:dyDescent="0.3">
      <c r="A684" s="19"/>
      <c r="B684" s="19"/>
      <c r="C684" s="19"/>
      <c r="D684" s="19"/>
      <c r="E684" s="19"/>
      <c r="F684" s="19"/>
    </row>
    <row r="685" spans="1:6" ht="15.75" customHeight="1" x14ac:dyDescent="0.3">
      <c r="A685" s="19"/>
      <c r="B685" s="19"/>
      <c r="C685" s="19"/>
      <c r="D685" s="19"/>
      <c r="E685" s="19"/>
      <c r="F685" s="19"/>
    </row>
    <row r="686" spans="1:6" ht="15.75" customHeight="1" x14ac:dyDescent="0.3">
      <c r="A686" s="19"/>
      <c r="B686" s="19"/>
      <c r="C686" s="19"/>
      <c r="D686" s="19"/>
      <c r="E686" s="19"/>
      <c r="F686" s="19"/>
    </row>
    <row r="687" spans="1:6" ht="15.75" customHeight="1" x14ac:dyDescent="0.3">
      <c r="A687" s="19"/>
      <c r="B687" s="19"/>
      <c r="C687" s="19"/>
      <c r="D687" s="19"/>
      <c r="E687" s="19"/>
      <c r="F687" s="19"/>
    </row>
    <row r="688" spans="1:6" ht="15.75" customHeight="1" x14ac:dyDescent="0.3">
      <c r="A688" s="19"/>
      <c r="B688" s="19"/>
      <c r="C688" s="19"/>
      <c r="D688" s="19"/>
      <c r="E688" s="19"/>
      <c r="F688" s="19"/>
    </row>
    <row r="689" spans="1:6" ht="15.75" customHeight="1" x14ac:dyDescent="0.3">
      <c r="A689" s="19"/>
      <c r="B689" s="19"/>
      <c r="C689" s="19"/>
      <c r="D689" s="19"/>
      <c r="E689" s="19"/>
      <c r="F689" s="19"/>
    </row>
    <row r="690" spans="1:6" ht="15.75" customHeight="1" x14ac:dyDescent="0.3">
      <c r="A690" s="19"/>
      <c r="B690" s="19"/>
      <c r="C690" s="19"/>
      <c r="D690" s="19"/>
      <c r="E690" s="19"/>
      <c r="F690" s="19"/>
    </row>
    <row r="691" spans="1:6" ht="15.75" customHeight="1" x14ac:dyDescent="0.3">
      <c r="A691" s="19"/>
      <c r="B691" s="19"/>
      <c r="C691" s="19"/>
      <c r="D691" s="19"/>
      <c r="E691" s="19"/>
      <c r="F691" s="19"/>
    </row>
    <row r="692" spans="1:6" ht="15.75" customHeight="1" x14ac:dyDescent="0.3">
      <c r="A692" s="19"/>
      <c r="B692" s="19"/>
      <c r="C692" s="19"/>
      <c r="D692" s="19"/>
      <c r="E692" s="19"/>
      <c r="F692" s="19"/>
    </row>
    <row r="693" spans="1:6" ht="15.75" customHeight="1" x14ac:dyDescent="0.3">
      <c r="A693" s="19"/>
      <c r="B693" s="19"/>
      <c r="C693" s="19"/>
      <c r="D693" s="19"/>
      <c r="E693" s="19"/>
      <c r="F693" s="19"/>
    </row>
    <row r="694" spans="1:6" ht="15.75" customHeight="1" x14ac:dyDescent="0.3">
      <c r="A694" s="19"/>
      <c r="B694" s="19"/>
      <c r="C694" s="19"/>
      <c r="D694" s="19"/>
      <c r="E694" s="19"/>
      <c r="F694" s="19"/>
    </row>
    <row r="695" spans="1:6" ht="15.75" customHeight="1" x14ac:dyDescent="0.3">
      <c r="A695" s="19"/>
      <c r="B695" s="19"/>
      <c r="C695" s="19"/>
      <c r="D695" s="19"/>
      <c r="E695" s="19"/>
      <c r="F695" s="19"/>
    </row>
    <row r="696" spans="1:6" ht="15.75" customHeight="1" x14ac:dyDescent="0.3">
      <c r="A696" s="19"/>
      <c r="B696" s="19"/>
      <c r="C696" s="19"/>
      <c r="D696" s="19"/>
      <c r="E696" s="19"/>
      <c r="F696" s="19"/>
    </row>
    <row r="697" spans="1:6" ht="15.75" customHeight="1" x14ac:dyDescent="0.3">
      <c r="A697" s="19"/>
      <c r="B697" s="19"/>
      <c r="C697" s="19"/>
      <c r="D697" s="19"/>
      <c r="E697" s="19"/>
      <c r="F697" s="19"/>
    </row>
    <row r="698" spans="1:6" ht="15.75" customHeight="1" x14ac:dyDescent="0.3">
      <c r="A698" s="19"/>
      <c r="B698" s="19"/>
      <c r="C698" s="19"/>
      <c r="D698" s="19"/>
      <c r="E698" s="19"/>
      <c r="F698" s="19"/>
    </row>
    <row r="699" spans="1:6" ht="15.75" customHeight="1" x14ac:dyDescent="0.3">
      <c r="A699" s="19"/>
      <c r="B699" s="19"/>
      <c r="C699" s="19"/>
      <c r="D699" s="19"/>
      <c r="E699" s="19"/>
      <c r="F699" s="19"/>
    </row>
    <row r="700" spans="1:6" ht="15.75" customHeight="1" x14ac:dyDescent="0.3">
      <c r="A700" s="19"/>
      <c r="B700" s="19"/>
      <c r="C700" s="19"/>
      <c r="D700" s="19"/>
      <c r="E700" s="19"/>
      <c r="F700" s="19"/>
    </row>
    <row r="701" spans="1:6" ht="15.75" customHeight="1" x14ac:dyDescent="0.3">
      <c r="A701" s="19"/>
      <c r="B701" s="19"/>
      <c r="C701" s="19"/>
      <c r="D701" s="19"/>
      <c r="E701" s="19"/>
      <c r="F701" s="19"/>
    </row>
    <row r="702" spans="1:6" ht="15.75" customHeight="1" x14ac:dyDescent="0.3">
      <c r="A702" s="19"/>
      <c r="B702" s="19"/>
      <c r="C702" s="19"/>
      <c r="D702" s="19"/>
      <c r="E702" s="19"/>
      <c r="F702" s="19"/>
    </row>
    <row r="703" spans="1:6" ht="15.75" customHeight="1" x14ac:dyDescent="0.3">
      <c r="A703" s="19"/>
      <c r="B703" s="19"/>
      <c r="C703" s="19"/>
      <c r="D703" s="19"/>
      <c r="E703" s="19"/>
      <c r="F703" s="19"/>
    </row>
    <row r="704" spans="1:6" ht="15.75" customHeight="1" x14ac:dyDescent="0.3">
      <c r="A704" s="19"/>
      <c r="B704" s="19"/>
      <c r="C704" s="19"/>
      <c r="D704" s="19"/>
      <c r="E704" s="19"/>
      <c r="F704" s="19"/>
    </row>
    <row r="705" spans="1:6" ht="15.75" customHeight="1" x14ac:dyDescent="0.3">
      <c r="A705" s="19"/>
      <c r="B705" s="19"/>
      <c r="C705" s="19"/>
      <c r="D705" s="19"/>
      <c r="E705" s="19"/>
      <c r="F705" s="19"/>
    </row>
    <row r="706" spans="1:6" ht="15.75" customHeight="1" x14ac:dyDescent="0.3">
      <c r="A706" s="19"/>
      <c r="B706" s="19"/>
      <c r="C706" s="19"/>
      <c r="D706" s="19"/>
      <c r="E706" s="19"/>
      <c r="F706" s="19"/>
    </row>
    <row r="707" spans="1:6" ht="15.75" customHeight="1" x14ac:dyDescent="0.3">
      <c r="A707" s="19"/>
      <c r="B707" s="19"/>
      <c r="C707" s="19"/>
      <c r="D707" s="19"/>
      <c r="E707" s="19"/>
      <c r="F707" s="19"/>
    </row>
    <row r="708" spans="1:6" ht="15.75" customHeight="1" x14ac:dyDescent="0.3">
      <c r="A708" s="19"/>
      <c r="B708" s="19"/>
      <c r="C708" s="19"/>
      <c r="D708" s="19"/>
      <c r="E708" s="19"/>
      <c r="F708" s="19"/>
    </row>
    <row r="709" spans="1:6" ht="15.75" customHeight="1" x14ac:dyDescent="0.3">
      <c r="A709" s="19"/>
      <c r="B709" s="19"/>
      <c r="C709" s="19"/>
      <c r="D709" s="19"/>
      <c r="E709" s="19"/>
      <c r="F709" s="19"/>
    </row>
    <row r="710" spans="1:6" ht="15.75" customHeight="1" x14ac:dyDescent="0.3">
      <c r="A710" s="19"/>
      <c r="B710" s="19"/>
      <c r="C710" s="19"/>
      <c r="D710" s="19"/>
      <c r="E710" s="19"/>
      <c r="F710" s="19"/>
    </row>
    <row r="711" spans="1:6" ht="15.75" customHeight="1" x14ac:dyDescent="0.3">
      <c r="A711" s="19"/>
      <c r="B711" s="19"/>
      <c r="C711" s="19"/>
      <c r="D711" s="19"/>
      <c r="E711" s="19"/>
      <c r="F711" s="19"/>
    </row>
    <row r="712" spans="1:6" ht="15.75" customHeight="1" x14ac:dyDescent="0.3">
      <c r="A712" s="19"/>
      <c r="B712" s="19"/>
      <c r="C712" s="19"/>
      <c r="D712" s="19"/>
      <c r="E712" s="19"/>
      <c r="F712" s="19"/>
    </row>
    <row r="713" spans="1:6" ht="15.75" customHeight="1" x14ac:dyDescent="0.3">
      <c r="A713" s="19"/>
      <c r="B713" s="19"/>
      <c r="C713" s="19"/>
      <c r="D713" s="19"/>
      <c r="E713" s="19"/>
      <c r="F713" s="19"/>
    </row>
    <row r="714" spans="1:6" ht="15.75" customHeight="1" x14ac:dyDescent="0.3">
      <c r="A714" s="19"/>
      <c r="B714" s="19"/>
      <c r="C714" s="19"/>
      <c r="D714" s="19"/>
      <c r="E714" s="19"/>
      <c r="F714" s="19"/>
    </row>
    <row r="715" spans="1:6" ht="15.75" customHeight="1" x14ac:dyDescent="0.3">
      <c r="A715" s="19"/>
      <c r="B715" s="19"/>
      <c r="C715" s="19"/>
      <c r="D715" s="19"/>
      <c r="E715" s="19"/>
      <c r="F715" s="19"/>
    </row>
    <row r="716" spans="1:6" ht="15.75" customHeight="1" x14ac:dyDescent="0.3">
      <c r="A716" s="19"/>
      <c r="B716" s="19"/>
      <c r="C716" s="19"/>
      <c r="D716" s="19"/>
      <c r="E716" s="19"/>
      <c r="F716" s="19"/>
    </row>
    <row r="717" spans="1:6" ht="15.75" customHeight="1" x14ac:dyDescent="0.3">
      <c r="A717" s="19"/>
      <c r="B717" s="19"/>
      <c r="C717" s="19"/>
      <c r="D717" s="19"/>
      <c r="E717" s="19"/>
      <c r="F717" s="19"/>
    </row>
    <row r="718" spans="1:6" ht="15.75" customHeight="1" x14ac:dyDescent="0.3">
      <c r="A718" s="19"/>
      <c r="B718" s="19"/>
      <c r="C718" s="19"/>
      <c r="D718" s="19"/>
      <c r="E718" s="19"/>
      <c r="F718" s="19"/>
    </row>
    <row r="719" spans="1:6" ht="15.75" customHeight="1" x14ac:dyDescent="0.3">
      <c r="A719" s="19"/>
      <c r="B719" s="19"/>
      <c r="C719" s="19"/>
      <c r="D719" s="19"/>
      <c r="E719" s="19"/>
      <c r="F719" s="19"/>
    </row>
    <row r="720" spans="1:6" ht="15.75" customHeight="1" x14ac:dyDescent="0.3">
      <c r="A720" s="19"/>
      <c r="B720" s="19"/>
      <c r="C720" s="19"/>
      <c r="D720" s="19"/>
      <c r="E720" s="19"/>
      <c r="F720" s="19"/>
    </row>
    <row r="721" spans="1:6" ht="15.75" customHeight="1" x14ac:dyDescent="0.3">
      <c r="A721" s="19"/>
      <c r="B721" s="19"/>
      <c r="C721" s="19"/>
      <c r="D721" s="19"/>
      <c r="E721" s="19"/>
      <c r="F721" s="19"/>
    </row>
    <row r="722" spans="1:6" ht="15.75" customHeight="1" x14ac:dyDescent="0.3">
      <c r="A722" s="19"/>
      <c r="B722" s="19"/>
      <c r="C722" s="19"/>
      <c r="D722" s="19"/>
      <c r="E722" s="19"/>
      <c r="F722" s="19"/>
    </row>
    <row r="723" spans="1:6" ht="15.75" customHeight="1" x14ac:dyDescent="0.3">
      <c r="A723" s="19"/>
      <c r="B723" s="19"/>
      <c r="C723" s="19"/>
      <c r="D723" s="19"/>
      <c r="E723" s="19"/>
      <c r="F723" s="19"/>
    </row>
    <row r="724" spans="1:6" ht="15.75" customHeight="1" x14ac:dyDescent="0.3">
      <c r="A724" s="19"/>
      <c r="B724" s="19"/>
      <c r="C724" s="19"/>
      <c r="D724" s="19"/>
      <c r="E724" s="19"/>
      <c r="F724" s="19"/>
    </row>
    <row r="725" spans="1:6" ht="15.75" customHeight="1" x14ac:dyDescent="0.3">
      <c r="A725" s="19"/>
      <c r="B725" s="19"/>
      <c r="C725" s="19"/>
      <c r="D725" s="19"/>
      <c r="E725" s="19"/>
      <c r="F725" s="19"/>
    </row>
    <row r="726" spans="1:6" ht="15.75" customHeight="1" x14ac:dyDescent="0.3">
      <c r="A726" s="19"/>
      <c r="B726" s="19"/>
      <c r="C726" s="19"/>
      <c r="D726" s="19"/>
      <c r="E726" s="19"/>
      <c r="F726" s="19"/>
    </row>
    <row r="727" spans="1:6" ht="15.75" customHeight="1" x14ac:dyDescent="0.3">
      <c r="A727" s="19"/>
      <c r="B727" s="19"/>
      <c r="C727" s="19"/>
      <c r="D727" s="19"/>
      <c r="E727" s="19"/>
      <c r="F727" s="19"/>
    </row>
    <row r="728" spans="1:6" ht="15.75" customHeight="1" x14ac:dyDescent="0.3">
      <c r="A728" s="19"/>
      <c r="B728" s="19"/>
      <c r="C728" s="19"/>
      <c r="D728" s="19"/>
      <c r="E728" s="19"/>
      <c r="F728" s="19"/>
    </row>
    <row r="729" spans="1:6" ht="15.75" customHeight="1" x14ac:dyDescent="0.3">
      <c r="A729" s="19"/>
      <c r="B729" s="19"/>
      <c r="C729" s="19"/>
      <c r="D729" s="19"/>
      <c r="E729" s="19"/>
      <c r="F729" s="19"/>
    </row>
    <row r="730" spans="1:6" ht="15.75" customHeight="1" x14ac:dyDescent="0.3">
      <c r="A730" s="19"/>
      <c r="B730" s="19"/>
      <c r="C730" s="19"/>
      <c r="D730" s="19"/>
      <c r="E730" s="19"/>
      <c r="F730" s="19"/>
    </row>
    <row r="731" spans="1:6" ht="15.75" customHeight="1" x14ac:dyDescent="0.3">
      <c r="A731" s="19"/>
      <c r="B731" s="19"/>
      <c r="C731" s="19"/>
      <c r="D731" s="19"/>
      <c r="E731" s="19"/>
      <c r="F731" s="19"/>
    </row>
    <row r="732" spans="1:6" ht="15.75" customHeight="1" x14ac:dyDescent="0.3">
      <c r="A732" s="19"/>
      <c r="B732" s="19"/>
      <c r="C732" s="19"/>
      <c r="D732" s="19"/>
      <c r="E732" s="19"/>
      <c r="F732" s="19"/>
    </row>
    <row r="733" spans="1:6" ht="15.75" customHeight="1" x14ac:dyDescent="0.3">
      <c r="A733" s="19"/>
      <c r="B733" s="19"/>
      <c r="C733" s="19"/>
      <c r="D733" s="19"/>
      <c r="E733" s="19"/>
      <c r="F733" s="19"/>
    </row>
    <row r="734" spans="1:6" ht="15.75" customHeight="1" x14ac:dyDescent="0.3">
      <c r="A734" s="19"/>
      <c r="B734" s="19"/>
      <c r="C734" s="19"/>
      <c r="D734" s="19"/>
      <c r="E734" s="19"/>
      <c r="F734" s="19"/>
    </row>
    <row r="735" spans="1:6" ht="15.75" customHeight="1" x14ac:dyDescent="0.3">
      <c r="A735" s="19"/>
      <c r="B735" s="19"/>
      <c r="C735" s="19"/>
      <c r="D735" s="19"/>
      <c r="E735" s="19"/>
      <c r="F735" s="19"/>
    </row>
    <row r="736" spans="1:6" ht="15.75" customHeight="1" x14ac:dyDescent="0.3">
      <c r="A736" s="19"/>
      <c r="B736" s="19"/>
      <c r="C736" s="19"/>
      <c r="D736" s="19"/>
      <c r="E736" s="19"/>
      <c r="F736" s="19"/>
    </row>
    <row r="737" spans="1:6" ht="15.75" customHeight="1" x14ac:dyDescent="0.3">
      <c r="A737" s="19"/>
      <c r="B737" s="19"/>
      <c r="C737" s="19"/>
      <c r="D737" s="19"/>
      <c r="E737" s="19"/>
      <c r="F737" s="19"/>
    </row>
    <row r="738" spans="1:6" ht="15.75" customHeight="1" x14ac:dyDescent="0.3">
      <c r="A738" s="19"/>
      <c r="B738" s="19"/>
      <c r="C738" s="19"/>
      <c r="D738" s="19"/>
      <c r="E738" s="19"/>
      <c r="F738" s="19"/>
    </row>
    <row r="739" spans="1:6" ht="15.75" customHeight="1" x14ac:dyDescent="0.3">
      <c r="A739" s="19"/>
      <c r="B739" s="19"/>
      <c r="C739" s="19"/>
      <c r="D739" s="19"/>
      <c r="E739" s="19"/>
      <c r="F739" s="19"/>
    </row>
    <row r="740" spans="1:6" ht="15.75" customHeight="1" x14ac:dyDescent="0.3">
      <c r="A740" s="19"/>
      <c r="B740" s="19"/>
      <c r="C740" s="19"/>
      <c r="D740" s="19"/>
      <c r="E740" s="19"/>
      <c r="F740" s="19"/>
    </row>
    <row r="741" spans="1:6" ht="15.75" customHeight="1" x14ac:dyDescent="0.3">
      <c r="A741" s="19"/>
      <c r="B741" s="19"/>
      <c r="C741" s="19"/>
      <c r="D741" s="19"/>
      <c r="E741" s="19"/>
      <c r="F741" s="19"/>
    </row>
    <row r="742" spans="1:6" ht="15.75" customHeight="1" x14ac:dyDescent="0.3">
      <c r="A742" s="19"/>
      <c r="B742" s="19"/>
      <c r="C742" s="19"/>
      <c r="D742" s="19"/>
      <c r="E742" s="19"/>
      <c r="F742" s="19"/>
    </row>
    <row r="743" spans="1:6" ht="15.75" customHeight="1" x14ac:dyDescent="0.3">
      <c r="A743" s="19"/>
      <c r="B743" s="19"/>
      <c r="C743" s="19"/>
      <c r="D743" s="19"/>
      <c r="E743" s="19"/>
      <c r="F743" s="19"/>
    </row>
    <row r="744" spans="1:6" ht="15.75" customHeight="1" x14ac:dyDescent="0.3">
      <c r="A744" s="19"/>
      <c r="B744" s="19"/>
      <c r="C744" s="19"/>
      <c r="D744" s="19"/>
      <c r="E744" s="19"/>
      <c r="F744" s="19"/>
    </row>
    <row r="745" spans="1:6" ht="15.75" customHeight="1" x14ac:dyDescent="0.3">
      <c r="A745" s="19"/>
      <c r="B745" s="19"/>
      <c r="C745" s="19"/>
      <c r="D745" s="19"/>
      <c r="E745" s="19"/>
      <c r="F745" s="19"/>
    </row>
    <row r="746" spans="1:6" ht="15.75" customHeight="1" x14ac:dyDescent="0.3">
      <c r="A746" s="19"/>
      <c r="B746" s="19"/>
      <c r="C746" s="19"/>
      <c r="D746" s="19"/>
      <c r="E746" s="19"/>
      <c r="F746" s="19"/>
    </row>
    <row r="747" spans="1:6" ht="15.75" customHeight="1" x14ac:dyDescent="0.3">
      <c r="A747" s="19"/>
      <c r="B747" s="19"/>
      <c r="C747" s="19"/>
      <c r="D747" s="19"/>
      <c r="E747" s="19"/>
      <c r="F747" s="19"/>
    </row>
    <row r="748" spans="1:6" ht="15.75" customHeight="1" x14ac:dyDescent="0.3">
      <c r="A748" s="19"/>
      <c r="B748" s="19"/>
      <c r="C748" s="19"/>
      <c r="D748" s="19"/>
      <c r="E748" s="19"/>
      <c r="F748" s="19"/>
    </row>
    <row r="749" spans="1:6" ht="15.75" customHeight="1" x14ac:dyDescent="0.3">
      <c r="A749" s="19"/>
      <c r="B749" s="19"/>
      <c r="C749" s="19"/>
      <c r="D749" s="19"/>
      <c r="E749" s="19"/>
      <c r="F749" s="19"/>
    </row>
    <row r="750" spans="1:6" ht="15.75" customHeight="1" x14ac:dyDescent="0.3">
      <c r="A750" s="19"/>
      <c r="B750" s="19"/>
      <c r="C750" s="19"/>
      <c r="D750" s="19"/>
      <c r="E750" s="19"/>
      <c r="F750" s="19"/>
    </row>
    <row r="751" spans="1:6" ht="15.75" customHeight="1" x14ac:dyDescent="0.3">
      <c r="A751" s="19"/>
      <c r="B751" s="19"/>
      <c r="C751" s="19"/>
      <c r="D751" s="19"/>
      <c r="E751" s="19"/>
      <c r="F751" s="19"/>
    </row>
    <row r="752" spans="1:6" ht="15.75" customHeight="1" x14ac:dyDescent="0.3">
      <c r="A752" s="19"/>
      <c r="B752" s="19"/>
      <c r="C752" s="19"/>
      <c r="D752" s="19"/>
      <c r="E752" s="19"/>
      <c r="F752" s="19"/>
    </row>
    <row r="753" spans="1:6" ht="15.75" customHeight="1" x14ac:dyDescent="0.3">
      <c r="A753" s="19"/>
      <c r="B753" s="19"/>
      <c r="C753" s="19"/>
      <c r="D753" s="19"/>
      <c r="E753" s="19"/>
      <c r="F753" s="19"/>
    </row>
    <row r="754" spans="1:6" ht="15.75" customHeight="1" x14ac:dyDescent="0.3">
      <c r="A754" s="19"/>
      <c r="B754" s="19"/>
      <c r="C754" s="19"/>
      <c r="D754" s="19"/>
      <c r="E754" s="19"/>
      <c r="F754" s="19"/>
    </row>
    <row r="755" spans="1:6" ht="15.75" customHeight="1" x14ac:dyDescent="0.3">
      <c r="A755" s="19"/>
      <c r="B755" s="19"/>
      <c r="C755" s="19"/>
      <c r="D755" s="19"/>
      <c r="E755" s="19"/>
      <c r="F755" s="19"/>
    </row>
    <row r="756" spans="1:6" ht="15.75" customHeight="1" x14ac:dyDescent="0.3">
      <c r="A756" s="19"/>
      <c r="B756" s="19"/>
      <c r="C756" s="19"/>
      <c r="D756" s="19"/>
      <c r="E756" s="19"/>
      <c r="F756" s="19"/>
    </row>
    <row r="757" spans="1:6" ht="15.75" customHeight="1" x14ac:dyDescent="0.3">
      <c r="A757" s="19"/>
      <c r="B757" s="19"/>
      <c r="C757" s="19"/>
      <c r="D757" s="19"/>
      <c r="E757" s="19"/>
      <c r="F757" s="19"/>
    </row>
    <row r="758" spans="1:6" ht="15.75" customHeight="1" x14ac:dyDescent="0.3">
      <c r="A758" s="19"/>
      <c r="B758" s="19"/>
      <c r="C758" s="19"/>
      <c r="D758" s="19"/>
      <c r="E758" s="19"/>
      <c r="F758" s="19"/>
    </row>
    <row r="759" spans="1:6" ht="15.75" customHeight="1" x14ac:dyDescent="0.3">
      <c r="A759" s="19"/>
      <c r="B759" s="19"/>
      <c r="C759" s="19"/>
      <c r="D759" s="19"/>
      <c r="E759" s="19"/>
      <c r="F759" s="19"/>
    </row>
    <row r="760" spans="1:6" ht="15.75" customHeight="1" x14ac:dyDescent="0.3">
      <c r="A760" s="19"/>
      <c r="B760" s="19"/>
      <c r="C760" s="19"/>
      <c r="D760" s="19"/>
      <c r="E760" s="19"/>
      <c r="F760" s="19"/>
    </row>
    <row r="761" spans="1:6" ht="15.75" customHeight="1" x14ac:dyDescent="0.3">
      <c r="A761" s="19"/>
      <c r="B761" s="19"/>
      <c r="C761" s="19"/>
      <c r="D761" s="19"/>
      <c r="E761" s="19"/>
      <c r="F761" s="19"/>
    </row>
    <row r="762" spans="1:6" ht="15.75" customHeight="1" x14ac:dyDescent="0.3">
      <c r="A762" s="19"/>
      <c r="B762" s="19"/>
      <c r="C762" s="19"/>
      <c r="D762" s="19"/>
      <c r="E762" s="19"/>
      <c r="F762" s="19"/>
    </row>
    <row r="763" spans="1:6" ht="15.75" customHeight="1" x14ac:dyDescent="0.3">
      <c r="A763" s="19"/>
      <c r="B763" s="19"/>
      <c r="C763" s="19"/>
      <c r="D763" s="19"/>
      <c r="E763" s="19"/>
      <c r="F763" s="19"/>
    </row>
    <row r="764" spans="1:6" ht="15.75" customHeight="1" x14ac:dyDescent="0.3">
      <c r="A764" s="19"/>
      <c r="B764" s="19"/>
      <c r="C764" s="19"/>
      <c r="D764" s="19"/>
      <c r="E764" s="19"/>
      <c r="F764" s="19"/>
    </row>
    <row r="765" spans="1:6" ht="15.75" customHeight="1" x14ac:dyDescent="0.3">
      <c r="A765" s="19"/>
      <c r="B765" s="19"/>
      <c r="C765" s="19"/>
      <c r="D765" s="19"/>
      <c r="E765" s="19"/>
      <c r="F765" s="19"/>
    </row>
    <row r="766" spans="1:6" ht="15.75" customHeight="1" x14ac:dyDescent="0.3">
      <c r="A766" s="19"/>
      <c r="B766" s="19"/>
      <c r="C766" s="19"/>
      <c r="D766" s="19"/>
      <c r="E766" s="19"/>
      <c r="F766" s="19"/>
    </row>
    <row r="767" spans="1:6" ht="15.75" customHeight="1" x14ac:dyDescent="0.3">
      <c r="A767" s="19"/>
      <c r="B767" s="19"/>
      <c r="C767" s="19"/>
      <c r="D767" s="19"/>
      <c r="E767" s="19"/>
      <c r="F767" s="19"/>
    </row>
    <row r="768" spans="1:6" ht="15.75" customHeight="1" x14ac:dyDescent="0.3">
      <c r="A768" s="19"/>
      <c r="B768" s="19"/>
      <c r="C768" s="19"/>
      <c r="D768" s="19"/>
      <c r="E768" s="19"/>
      <c r="F768" s="19"/>
    </row>
    <row r="769" spans="1:6" ht="15.75" customHeight="1" x14ac:dyDescent="0.3">
      <c r="A769" s="19"/>
      <c r="B769" s="19"/>
      <c r="C769" s="19"/>
      <c r="D769" s="19"/>
      <c r="E769" s="19"/>
      <c r="F769" s="19"/>
    </row>
    <row r="770" spans="1:6" ht="15.75" customHeight="1" x14ac:dyDescent="0.3">
      <c r="A770" s="19"/>
      <c r="B770" s="19"/>
      <c r="C770" s="19"/>
      <c r="D770" s="19"/>
      <c r="E770" s="19"/>
      <c r="F770" s="19"/>
    </row>
    <row r="771" spans="1:6" ht="15.75" customHeight="1" x14ac:dyDescent="0.3">
      <c r="A771" s="19"/>
      <c r="B771" s="19"/>
      <c r="C771" s="19"/>
      <c r="D771" s="19"/>
      <c r="E771" s="19"/>
      <c r="F771" s="19"/>
    </row>
    <row r="772" spans="1:6" ht="15.75" customHeight="1" x14ac:dyDescent="0.3">
      <c r="A772" s="19"/>
      <c r="B772" s="19"/>
      <c r="C772" s="19"/>
      <c r="D772" s="19"/>
      <c r="E772" s="19"/>
      <c r="F772" s="19"/>
    </row>
    <row r="773" spans="1:6" ht="15.75" customHeight="1" x14ac:dyDescent="0.3">
      <c r="A773" s="19"/>
      <c r="B773" s="19"/>
      <c r="C773" s="19"/>
      <c r="D773" s="19"/>
      <c r="E773" s="19"/>
      <c r="F773" s="19"/>
    </row>
    <row r="774" spans="1:6" ht="15.75" customHeight="1" x14ac:dyDescent="0.3">
      <c r="A774" s="19"/>
      <c r="B774" s="19"/>
      <c r="C774" s="19"/>
      <c r="D774" s="19"/>
      <c r="E774" s="19"/>
      <c r="F774" s="19"/>
    </row>
    <row r="775" spans="1:6" ht="15.75" customHeight="1" x14ac:dyDescent="0.3">
      <c r="A775" s="19"/>
      <c r="B775" s="19"/>
      <c r="C775" s="19"/>
      <c r="D775" s="19"/>
      <c r="E775" s="19"/>
      <c r="F775" s="19"/>
    </row>
    <row r="776" spans="1:6" ht="15.75" customHeight="1" x14ac:dyDescent="0.3">
      <c r="A776" s="19"/>
      <c r="B776" s="19"/>
      <c r="C776" s="19"/>
      <c r="D776" s="19"/>
      <c r="E776" s="19"/>
      <c r="F776" s="19"/>
    </row>
    <row r="777" spans="1:6" ht="15.75" customHeight="1" x14ac:dyDescent="0.3">
      <c r="A777" s="19"/>
      <c r="B777" s="19"/>
      <c r="C777" s="19"/>
      <c r="D777" s="19"/>
      <c r="E777" s="19"/>
      <c r="F777" s="19"/>
    </row>
    <row r="778" spans="1:6" ht="15.75" customHeight="1" x14ac:dyDescent="0.3">
      <c r="A778" s="19"/>
      <c r="B778" s="19"/>
      <c r="C778" s="19"/>
      <c r="D778" s="19"/>
      <c r="E778" s="19"/>
      <c r="F778" s="19"/>
    </row>
    <row r="779" spans="1:6" ht="15.75" customHeight="1" x14ac:dyDescent="0.3">
      <c r="A779" s="19"/>
      <c r="B779" s="19"/>
      <c r="C779" s="19"/>
      <c r="D779" s="19"/>
      <c r="E779" s="19"/>
      <c r="F779" s="19"/>
    </row>
    <row r="780" spans="1:6" ht="15.75" customHeight="1" x14ac:dyDescent="0.3">
      <c r="A780" s="19"/>
      <c r="B780" s="19"/>
      <c r="C780" s="19"/>
      <c r="D780" s="19"/>
      <c r="E780" s="19"/>
      <c r="F780" s="19"/>
    </row>
    <row r="781" spans="1:6" ht="15.75" customHeight="1" x14ac:dyDescent="0.3">
      <c r="A781" s="19"/>
      <c r="B781" s="19"/>
      <c r="C781" s="19"/>
      <c r="D781" s="19"/>
      <c r="E781" s="19"/>
      <c r="F781" s="19"/>
    </row>
    <row r="782" spans="1:6" ht="15.75" customHeight="1" x14ac:dyDescent="0.3">
      <c r="A782" s="19"/>
      <c r="B782" s="19"/>
      <c r="C782" s="19"/>
      <c r="D782" s="19"/>
      <c r="E782" s="19"/>
      <c r="F782" s="19"/>
    </row>
    <row r="783" spans="1:6" ht="15.75" customHeight="1" x14ac:dyDescent="0.3">
      <c r="A783" s="19"/>
      <c r="B783" s="19"/>
      <c r="C783" s="19"/>
      <c r="D783" s="19"/>
      <c r="E783" s="19"/>
      <c r="F783" s="19"/>
    </row>
    <row r="784" spans="1:6" ht="15.75" customHeight="1" x14ac:dyDescent="0.3">
      <c r="A784" s="19"/>
      <c r="B784" s="19"/>
      <c r="C784" s="19"/>
      <c r="D784" s="19"/>
      <c r="E784" s="19"/>
      <c r="F784" s="19"/>
    </row>
    <row r="785" spans="1:6" ht="15.75" customHeight="1" x14ac:dyDescent="0.3">
      <c r="A785" s="19"/>
      <c r="B785" s="19"/>
      <c r="C785" s="19"/>
      <c r="D785" s="19"/>
      <c r="E785" s="19"/>
      <c r="F785" s="19"/>
    </row>
    <row r="786" spans="1:6" ht="15.75" customHeight="1" x14ac:dyDescent="0.3">
      <c r="A786" s="19"/>
      <c r="B786" s="19"/>
      <c r="C786" s="19"/>
      <c r="D786" s="19"/>
      <c r="E786" s="19"/>
      <c r="F786" s="19"/>
    </row>
    <row r="787" spans="1:6" ht="15.75" customHeight="1" x14ac:dyDescent="0.3">
      <c r="A787" s="19"/>
      <c r="B787" s="19"/>
      <c r="C787" s="19"/>
      <c r="D787" s="19"/>
      <c r="E787" s="19"/>
      <c r="F787" s="19"/>
    </row>
    <row r="788" spans="1:6" ht="15.75" customHeight="1" x14ac:dyDescent="0.3">
      <c r="A788" s="19"/>
      <c r="B788" s="19"/>
      <c r="C788" s="19"/>
      <c r="D788" s="19"/>
      <c r="E788" s="19"/>
      <c r="F788" s="19"/>
    </row>
    <row r="789" spans="1:6" ht="15.75" customHeight="1" x14ac:dyDescent="0.3">
      <c r="A789" s="19"/>
      <c r="B789" s="19"/>
      <c r="C789" s="19"/>
      <c r="D789" s="19"/>
      <c r="E789" s="19"/>
      <c r="F789" s="19"/>
    </row>
    <row r="790" spans="1:6" ht="15.75" customHeight="1" x14ac:dyDescent="0.3">
      <c r="A790" s="19"/>
      <c r="B790" s="19"/>
      <c r="C790" s="19"/>
      <c r="D790" s="19"/>
      <c r="E790" s="19"/>
      <c r="F790" s="19"/>
    </row>
    <row r="791" spans="1:6" ht="15.75" customHeight="1" x14ac:dyDescent="0.3">
      <c r="A791" s="19"/>
      <c r="B791" s="19"/>
      <c r="C791" s="19"/>
      <c r="D791" s="19"/>
      <c r="E791" s="19"/>
      <c r="F791" s="19"/>
    </row>
    <row r="792" spans="1:6" ht="15.75" customHeight="1" x14ac:dyDescent="0.3">
      <c r="A792" s="19"/>
      <c r="B792" s="19"/>
      <c r="C792" s="19"/>
      <c r="D792" s="19"/>
      <c r="E792" s="19"/>
      <c r="F792" s="19"/>
    </row>
    <row r="793" spans="1:6" ht="15.75" customHeight="1" x14ac:dyDescent="0.3">
      <c r="A793" s="19"/>
      <c r="B793" s="19"/>
      <c r="C793" s="19"/>
      <c r="D793" s="19"/>
      <c r="E793" s="19"/>
      <c r="F793" s="19"/>
    </row>
    <row r="794" spans="1:6" ht="15.75" customHeight="1" x14ac:dyDescent="0.3">
      <c r="A794" s="19"/>
      <c r="B794" s="19"/>
      <c r="C794" s="19"/>
      <c r="D794" s="19"/>
      <c r="E794" s="19"/>
      <c r="F794" s="19"/>
    </row>
    <row r="795" spans="1:6" ht="15.75" customHeight="1" x14ac:dyDescent="0.3">
      <c r="A795" s="19"/>
      <c r="B795" s="19"/>
      <c r="C795" s="19"/>
      <c r="D795" s="19"/>
      <c r="E795" s="19"/>
      <c r="F795" s="19"/>
    </row>
    <row r="796" spans="1:6" ht="15.75" customHeight="1" x14ac:dyDescent="0.3">
      <c r="A796" s="19"/>
      <c r="B796" s="19"/>
      <c r="C796" s="19"/>
      <c r="D796" s="19"/>
      <c r="E796" s="19"/>
      <c r="F796" s="19"/>
    </row>
    <row r="797" spans="1:6" ht="15.75" customHeight="1" x14ac:dyDescent="0.3">
      <c r="A797" s="19"/>
      <c r="B797" s="19"/>
      <c r="C797" s="19"/>
      <c r="D797" s="19"/>
      <c r="E797" s="19"/>
      <c r="F797" s="19"/>
    </row>
    <row r="798" spans="1:6" ht="15.75" customHeight="1" x14ac:dyDescent="0.3">
      <c r="A798" s="19"/>
      <c r="B798" s="19"/>
      <c r="C798" s="19"/>
      <c r="D798" s="19"/>
      <c r="E798" s="19"/>
      <c r="F798" s="19"/>
    </row>
    <row r="799" spans="1:6" ht="15.75" customHeight="1" x14ac:dyDescent="0.3">
      <c r="A799" s="19"/>
      <c r="B799" s="19"/>
      <c r="C799" s="19"/>
      <c r="D799" s="19"/>
      <c r="E799" s="19"/>
      <c r="F799" s="19"/>
    </row>
    <row r="800" spans="1:6" ht="15.75" customHeight="1" x14ac:dyDescent="0.3">
      <c r="A800" s="19"/>
      <c r="B800" s="19"/>
      <c r="C800" s="19"/>
      <c r="D800" s="19"/>
      <c r="E800" s="19"/>
      <c r="F800" s="19"/>
    </row>
    <row r="801" spans="1:6" ht="15.75" customHeight="1" x14ac:dyDescent="0.3">
      <c r="A801" s="19"/>
      <c r="B801" s="19"/>
      <c r="C801" s="19"/>
      <c r="D801" s="19"/>
      <c r="E801" s="19"/>
      <c r="F801" s="19"/>
    </row>
    <row r="802" spans="1:6" ht="15.75" customHeight="1" x14ac:dyDescent="0.3">
      <c r="A802" s="19"/>
      <c r="B802" s="19"/>
      <c r="C802" s="19"/>
      <c r="D802" s="19"/>
      <c r="E802" s="19"/>
      <c r="F802" s="19"/>
    </row>
    <row r="803" spans="1:6" ht="15.75" customHeight="1" x14ac:dyDescent="0.3">
      <c r="A803" s="19"/>
      <c r="B803" s="19"/>
      <c r="C803" s="19"/>
      <c r="D803" s="19"/>
      <c r="E803" s="19"/>
      <c r="F803" s="19"/>
    </row>
    <row r="804" spans="1:6" ht="15.75" customHeight="1" x14ac:dyDescent="0.3">
      <c r="A804" s="19"/>
      <c r="B804" s="19"/>
      <c r="C804" s="19"/>
      <c r="D804" s="19"/>
      <c r="E804" s="19"/>
      <c r="F804" s="19"/>
    </row>
    <row r="805" spans="1:6" ht="15.75" customHeight="1" x14ac:dyDescent="0.3">
      <c r="A805" s="19"/>
      <c r="B805" s="19"/>
      <c r="C805" s="19"/>
      <c r="D805" s="19"/>
      <c r="E805" s="19"/>
      <c r="F805" s="19"/>
    </row>
    <row r="806" spans="1:6" ht="15.75" customHeight="1" x14ac:dyDescent="0.3">
      <c r="A806" s="19"/>
      <c r="B806" s="19"/>
      <c r="C806" s="19"/>
      <c r="D806" s="19"/>
      <c r="E806" s="19"/>
      <c r="F806" s="19"/>
    </row>
    <row r="807" spans="1:6" ht="15.75" customHeight="1" x14ac:dyDescent="0.3">
      <c r="A807" s="19"/>
      <c r="B807" s="19"/>
      <c r="C807" s="19"/>
      <c r="D807" s="19"/>
      <c r="E807" s="19"/>
      <c r="F807" s="19"/>
    </row>
    <row r="808" spans="1:6" ht="15.75" customHeight="1" x14ac:dyDescent="0.3">
      <c r="A808" s="19"/>
      <c r="B808" s="19"/>
      <c r="C808" s="19"/>
      <c r="D808" s="19"/>
      <c r="E808" s="19"/>
      <c r="F808" s="19"/>
    </row>
    <row r="809" spans="1:6" ht="15.75" customHeight="1" x14ac:dyDescent="0.3">
      <c r="A809" s="19"/>
      <c r="B809" s="19"/>
      <c r="C809" s="19"/>
      <c r="D809" s="19"/>
      <c r="E809" s="19"/>
      <c r="F809" s="19"/>
    </row>
    <row r="810" spans="1:6" ht="15.75" customHeight="1" x14ac:dyDescent="0.3">
      <c r="A810" s="19"/>
      <c r="B810" s="19"/>
      <c r="C810" s="19"/>
      <c r="D810" s="19"/>
      <c r="E810" s="19"/>
      <c r="F810" s="19"/>
    </row>
    <row r="811" spans="1:6" ht="15.75" customHeight="1" x14ac:dyDescent="0.3">
      <c r="A811" s="19"/>
      <c r="B811" s="19"/>
      <c r="C811" s="19"/>
      <c r="D811" s="19"/>
      <c r="E811" s="19"/>
      <c r="F811" s="19"/>
    </row>
    <row r="812" spans="1:6" ht="15.75" customHeight="1" x14ac:dyDescent="0.3">
      <c r="A812" s="19"/>
      <c r="B812" s="19"/>
      <c r="C812" s="19"/>
      <c r="D812" s="19"/>
      <c r="E812" s="19"/>
      <c r="F812" s="19"/>
    </row>
    <row r="813" spans="1:6" ht="15.75" customHeight="1" x14ac:dyDescent="0.3">
      <c r="A813" s="19"/>
      <c r="B813" s="19"/>
      <c r="C813" s="19"/>
      <c r="D813" s="19"/>
      <c r="E813" s="19"/>
      <c r="F813" s="19"/>
    </row>
    <row r="814" spans="1:6" ht="15.75" customHeight="1" x14ac:dyDescent="0.3">
      <c r="A814" s="19"/>
      <c r="B814" s="19"/>
      <c r="C814" s="19"/>
      <c r="D814" s="19"/>
      <c r="E814" s="19"/>
      <c r="F814" s="19"/>
    </row>
    <row r="815" spans="1:6" ht="15.75" customHeight="1" x14ac:dyDescent="0.3">
      <c r="A815" s="19"/>
      <c r="B815" s="19"/>
      <c r="C815" s="19"/>
      <c r="D815" s="19"/>
      <c r="E815" s="19"/>
      <c r="F815" s="19"/>
    </row>
    <row r="816" spans="1:6" ht="15.75" customHeight="1" x14ac:dyDescent="0.3">
      <c r="A816" s="19"/>
      <c r="B816" s="19"/>
      <c r="C816" s="19"/>
      <c r="D816" s="19"/>
      <c r="E816" s="19"/>
      <c r="F816" s="19"/>
    </row>
    <row r="817" spans="1:6" ht="15.75" customHeight="1" x14ac:dyDescent="0.3">
      <c r="A817" s="19"/>
      <c r="B817" s="19"/>
      <c r="C817" s="19"/>
      <c r="D817" s="19"/>
      <c r="E817" s="19"/>
      <c r="F817" s="19"/>
    </row>
    <row r="818" spans="1:6" ht="15.75" customHeight="1" x14ac:dyDescent="0.3">
      <c r="A818" s="19"/>
      <c r="B818" s="19"/>
      <c r="C818" s="19"/>
      <c r="D818" s="19"/>
      <c r="E818" s="19"/>
      <c r="F818" s="19"/>
    </row>
    <row r="819" spans="1:6" ht="15.75" customHeight="1" x14ac:dyDescent="0.3">
      <c r="A819" s="19"/>
      <c r="B819" s="19"/>
      <c r="C819" s="19"/>
      <c r="D819" s="19"/>
      <c r="E819" s="19"/>
      <c r="F819" s="19"/>
    </row>
    <row r="820" spans="1:6" ht="15.75" customHeight="1" x14ac:dyDescent="0.3">
      <c r="A820" s="19"/>
      <c r="B820" s="19"/>
      <c r="C820" s="19"/>
      <c r="D820" s="19"/>
      <c r="E820" s="19"/>
      <c r="F820" s="19"/>
    </row>
    <row r="821" spans="1:6" ht="15.75" customHeight="1" x14ac:dyDescent="0.3">
      <c r="A821" s="19"/>
      <c r="B821" s="19"/>
      <c r="C821" s="19"/>
      <c r="D821" s="19"/>
      <c r="E821" s="19"/>
      <c r="F821" s="19"/>
    </row>
    <row r="822" spans="1:6" ht="15.75" customHeight="1" x14ac:dyDescent="0.3">
      <c r="A822" s="19"/>
      <c r="B822" s="19"/>
      <c r="C822" s="19"/>
      <c r="D822" s="19"/>
      <c r="E822" s="19"/>
      <c r="F822" s="19"/>
    </row>
    <row r="823" spans="1:6" ht="15.75" customHeight="1" x14ac:dyDescent="0.3">
      <c r="A823" s="19"/>
      <c r="B823" s="19"/>
      <c r="C823" s="19"/>
      <c r="D823" s="19"/>
      <c r="E823" s="19"/>
      <c r="F823" s="19"/>
    </row>
    <row r="824" spans="1:6" ht="15.75" customHeight="1" x14ac:dyDescent="0.3">
      <c r="A824" s="19"/>
      <c r="B824" s="19"/>
      <c r="C824" s="19"/>
      <c r="D824" s="19"/>
      <c r="E824" s="19"/>
      <c r="F824" s="19"/>
    </row>
    <row r="825" spans="1:6" ht="15.75" customHeight="1" x14ac:dyDescent="0.3">
      <c r="A825" s="19"/>
      <c r="B825" s="19"/>
      <c r="C825" s="19"/>
      <c r="D825" s="19"/>
      <c r="E825" s="19"/>
      <c r="F825" s="19"/>
    </row>
    <row r="826" spans="1:6" ht="15.75" customHeight="1" x14ac:dyDescent="0.3">
      <c r="A826" s="19"/>
      <c r="B826" s="19"/>
      <c r="C826" s="19"/>
      <c r="D826" s="19"/>
      <c r="E826" s="19"/>
      <c r="F826" s="19"/>
    </row>
    <row r="827" spans="1:6" ht="15.75" customHeight="1" x14ac:dyDescent="0.3">
      <c r="A827" s="19"/>
      <c r="B827" s="19"/>
      <c r="C827" s="19"/>
      <c r="D827" s="19"/>
      <c r="E827" s="19"/>
      <c r="F827" s="19"/>
    </row>
    <row r="828" spans="1:6" ht="15.75" customHeight="1" x14ac:dyDescent="0.3">
      <c r="A828" s="19"/>
      <c r="B828" s="19"/>
      <c r="C828" s="19"/>
      <c r="D828" s="19"/>
      <c r="E828" s="19"/>
      <c r="F828" s="19"/>
    </row>
    <row r="829" spans="1:6" ht="15.75" customHeight="1" x14ac:dyDescent="0.3">
      <c r="A829" s="19"/>
      <c r="B829" s="19"/>
      <c r="C829" s="19"/>
      <c r="D829" s="19"/>
      <c r="E829" s="19"/>
      <c r="F829" s="19"/>
    </row>
    <row r="830" spans="1:6" ht="15.75" customHeight="1" x14ac:dyDescent="0.3">
      <c r="A830" s="19"/>
      <c r="B830" s="19"/>
      <c r="C830" s="19"/>
      <c r="D830" s="19"/>
      <c r="E830" s="19"/>
      <c r="F830" s="19"/>
    </row>
    <row r="831" spans="1:6" ht="15.75" customHeight="1" x14ac:dyDescent="0.3">
      <c r="A831" s="19"/>
      <c r="B831" s="19"/>
      <c r="C831" s="19"/>
      <c r="D831" s="19"/>
      <c r="E831" s="19"/>
      <c r="F831" s="19"/>
    </row>
    <row r="832" spans="1:6" ht="15.75" customHeight="1" x14ac:dyDescent="0.3">
      <c r="A832" s="19"/>
      <c r="B832" s="19"/>
      <c r="C832" s="19"/>
      <c r="D832" s="19"/>
      <c r="E832" s="19"/>
      <c r="F832" s="19"/>
    </row>
    <row r="833" spans="1:6" ht="15.75" customHeight="1" x14ac:dyDescent="0.3">
      <c r="A833" s="19"/>
      <c r="B833" s="19"/>
      <c r="C833" s="19"/>
      <c r="D833" s="19"/>
      <c r="E833" s="19"/>
      <c r="F833" s="19"/>
    </row>
    <row r="834" spans="1:6" ht="15.75" customHeight="1" x14ac:dyDescent="0.3">
      <c r="A834" s="19"/>
      <c r="B834" s="19"/>
      <c r="C834" s="19"/>
      <c r="D834" s="19"/>
      <c r="E834" s="19"/>
      <c r="F834" s="19"/>
    </row>
    <row r="835" spans="1:6" ht="15.75" customHeight="1" x14ac:dyDescent="0.3">
      <c r="A835" s="19"/>
      <c r="B835" s="19"/>
      <c r="C835" s="19"/>
      <c r="D835" s="19"/>
      <c r="E835" s="19"/>
      <c r="F835" s="19"/>
    </row>
    <row r="836" spans="1:6" ht="15.75" customHeight="1" x14ac:dyDescent="0.3">
      <c r="A836" s="19"/>
      <c r="B836" s="19"/>
      <c r="C836" s="19"/>
      <c r="D836" s="19"/>
      <c r="E836" s="19"/>
      <c r="F836" s="19"/>
    </row>
    <row r="837" spans="1:6" ht="15.75" customHeight="1" x14ac:dyDescent="0.3">
      <c r="A837" s="19"/>
      <c r="B837" s="19"/>
      <c r="C837" s="19"/>
      <c r="D837" s="19"/>
      <c r="E837" s="19"/>
      <c r="F837" s="19"/>
    </row>
    <row r="838" spans="1:6" ht="15.75" customHeight="1" x14ac:dyDescent="0.3">
      <c r="A838" s="19"/>
      <c r="B838" s="19"/>
      <c r="C838" s="19"/>
      <c r="D838" s="19"/>
      <c r="E838" s="19"/>
      <c r="F838" s="19"/>
    </row>
    <row r="839" spans="1:6" ht="15.75" customHeight="1" x14ac:dyDescent="0.3">
      <c r="A839" s="19"/>
      <c r="B839" s="19"/>
      <c r="C839" s="19"/>
      <c r="D839" s="19"/>
      <c r="E839" s="19"/>
      <c r="F839" s="19"/>
    </row>
    <row r="840" spans="1:6" ht="15.75" customHeight="1" x14ac:dyDescent="0.3">
      <c r="A840" s="19"/>
      <c r="B840" s="19"/>
      <c r="C840" s="19"/>
      <c r="D840" s="19"/>
      <c r="E840" s="19"/>
      <c r="F840" s="19"/>
    </row>
    <row r="841" spans="1:6" ht="15.75" customHeight="1" x14ac:dyDescent="0.3">
      <c r="A841" s="19"/>
      <c r="B841" s="19"/>
      <c r="C841" s="19"/>
      <c r="D841" s="19"/>
      <c r="E841" s="19"/>
      <c r="F841" s="19"/>
    </row>
    <row r="842" spans="1:6" ht="15.75" customHeight="1" x14ac:dyDescent="0.3">
      <c r="A842" s="19"/>
      <c r="B842" s="19"/>
      <c r="C842" s="19"/>
      <c r="D842" s="19"/>
      <c r="E842" s="19"/>
      <c r="F842" s="19"/>
    </row>
    <row r="843" spans="1:6" ht="15.75" customHeight="1" x14ac:dyDescent="0.3">
      <c r="A843" s="19"/>
      <c r="B843" s="19"/>
      <c r="C843" s="19"/>
      <c r="D843" s="19"/>
      <c r="E843" s="19"/>
      <c r="F843" s="19"/>
    </row>
    <row r="844" spans="1:6" ht="15.75" customHeight="1" x14ac:dyDescent="0.3">
      <c r="A844" s="19"/>
      <c r="B844" s="19"/>
      <c r="C844" s="19"/>
      <c r="D844" s="19"/>
      <c r="E844" s="19"/>
      <c r="F844" s="19"/>
    </row>
    <row r="845" spans="1:6" ht="15.75" customHeight="1" x14ac:dyDescent="0.3">
      <c r="A845" s="19"/>
      <c r="B845" s="19"/>
      <c r="C845" s="19"/>
      <c r="D845" s="19"/>
      <c r="E845" s="19"/>
      <c r="F845" s="19"/>
    </row>
    <row r="846" spans="1:6" ht="15.75" customHeight="1" x14ac:dyDescent="0.3">
      <c r="A846" s="19"/>
      <c r="B846" s="19"/>
      <c r="C846" s="19"/>
      <c r="D846" s="19"/>
      <c r="E846" s="19"/>
      <c r="F846" s="19"/>
    </row>
    <row r="847" spans="1:6" ht="15.75" customHeight="1" x14ac:dyDescent="0.3">
      <c r="A847" s="19"/>
      <c r="B847" s="19"/>
      <c r="C847" s="19"/>
      <c r="D847" s="19"/>
      <c r="E847" s="19"/>
      <c r="F847" s="19"/>
    </row>
    <row r="848" spans="1:6" ht="15.75" customHeight="1" x14ac:dyDescent="0.3">
      <c r="A848" s="19"/>
      <c r="B848" s="19"/>
      <c r="C848" s="19"/>
      <c r="D848" s="19"/>
      <c r="E848" s="19"/>
      <c r="F848" s="19"/>
    </row>
    <row r="849" spans="1:6" ht="15.75" customHeight="1" x14ac:dyDescent="0.3">
      <c r="A849" s="19"/>
      <c r="B849" s="19"/>
      <c r="C849" s="19"/>
      <c r="D849" s="19"/>
      <c r="E849" s="19"/>
      <c r="F849" s="19"/>
    </row>
    <row r="850" spans="1:6" ht="15.75" customHeight="1" x14ac:dyDescent="0.3">
      <c r="A850" s="19"/>
      <c r="B850" s="19"/>
      <c r="C850" s="19"/>
      <c r="D850" s="19"/>
      <c r="E850" s="19"/>
      <c r="F850" s="19"/>
    </row>
    <row r="851" spans="1:6" ht="15.75" customHeight="1" x14ac:dyDescent="0.3">
      <c r="A851" s="19"/>
      <c r="B851" s="19"/>
      <c r="C851" s="19"/>
      <c r="D851" s="19"/>
      <c r="E851" s="19"/>
      <c r="F851" s="19"/>
    </row>
    <row r="852" spans="1:6" ht="15.75" customHeight="1" x14ac:dyDescent="0.3">
      <c r="A852" s="19"/>
      <c r="B852" s="19"/>
      <c r="C852" s="19"/>
      <c r="D852" s="19"/>
      <c r="E852" s="19"/>
      <c r="F852" s="19"/>
    </row>
    <row r="853" spans="1:6" ht="15.75" customHeight="1" x14ac:dyDescent="0.3">
      <c r="A853" s="19"/>
      <c r="B853" s="19"/>
      <c r="C853" s="19"/>
      <c r="D853" s="19"/>
      <c r="E853" s="19"/>
      <c r="F853" s="19"/>
    </row>
    <row r="854" spans="1:6" ht="15.75" customHeight="1" x14ac:dyDescent="0.3">
      <c r="A854" s="19"/>
      <c r="B854" s="19"/>
      <c r="C854" s="19"/>
      <c r="D854" s="19"/>
      <c r="E854" s="19"/>
      <c r="F854" s="19"/>
    </row>
    <row r="855" spans="1:6" ht="15.75" customHeight="1" x14ac:dyDescent="0.3">
      <c r="A855" s="19"/>
      <c r="B855" s="19"/>
      <c r="C855" s="19"/>
      <c r="D855" s="19"/>
      <c r="E855" s="19"/>
      <c r="F855" s="19"/>
    </row>
    <row r="856" spans="1:6" ht="15.75" customHeight="1" x14ac:dyDescent="0.3">
      <c r="A856" s="19"/>
      <c r="B856" s="19"/>
      <c r="C856" s="19"/>
      <c r="D856" s="19"/>
      <c r="E856" s="19"/>
      <c r="F856" s="19"/>
    </row>
    <row r="857" spans="1:6" ht="15.75" customHeight="1" x14ac:dyDescent="0.3">
      <c r="A857" s="19"/>
      <c r="B857" s="19"/>
      <c r="C857" s="19"/>
      <c r="D857" s="19"/>
      <c r="E857" s="19"/>
      <c r="F857" s="19"/>
    </row>
    <row r="858" spans="1:6" ht="15.75" customHeight="1" x14ac:dyDescent="0.3">
      <c r="A858" s="19"/>
      <c r="B858" s="19"/>
      <c r="C858" s="19"/>
      <c r="D858" s="19"/>
      <c r="E858" s="19"/>
      <c r="F858" s="19"/>
    </row>
    <row r="859" spans="1:6" ht="15.75" customHeight="1" x14ac:dyDescent="0.3">
      <c r="A859" s="19"/>
      <c r="B859" s="19"/>
      <c r="C859" s="19"/>
      <c r="D859" s="19"/>
      <c r="E859" s="19"/>
      <c r="F859" s="19"/>
    </row>
    <row r="860" spans="1:6" ht="15.75" customHeight="1" x14ac:dyDescent="0.3">
      <c r="A860" s="19"/>
      <c r="B860" s="19"/>
      <c r="C860" s="19"/>
      <c r="D860" s="19"/>
      <c r="E860" s="19"/>
      <c r="F860" s="19"/>
    </row>
    <row r="861" spans="1:6" ht="15.75" customHeight="1" x14ac:dyDescent="0.3">
      <c r="A861" s="19"/>
      <c r="B861" s="19"/>
      <c r="C861" s="19"/>
      <c r="D861" s="19"/>
      <c r="E861" s="19"/>
      <c r="F861" s="19"/>
    </row>
    <row r="862" spans="1:6" ht="15.75" customHeight="1" x14ac:dyDescent="0.3">
      <c r="A862" s="19"/>
      <c r="B862" s="19"/>
      <c r="C862" s="19"/>
      <c r="D862" s="19"/>
      <c r="E862" s="19"/>
      <c r="F862" s="19"/>
    </row>
    <row r="863" spans="1:6" ht="15.75" customHeight="1" x14ac:dyDescent="0.3">
      <c r="A863" s="19"/>
      <c r="B863" s="19"/>
      <c r="C863" s="19"/>
      <c r="D863" s="19"/>
      <c r="E863" s="19"/>
      <c r="F863" s="19"/>
    </row>
    <row r="864" spans="1:6" ht="15.75" customHeight="1" x14ac:dyDescent="0.3">
      <c r="A864" s="19"/>
      <c r="B864" s="19"/>
      <c r="C864" s="19"/>
      <c r="D864" s="19"/>
      <c r="E864" s="19"/>
      <c r="F864" s="19"/>
    </row>
    <row r="865" spans="1:6" ht="15.75" customHeight="1" x14ac:dyDescent="0.3">
      <c r="A865" s="19"/>
      <c r="B865" s="19"/>
      <c r="C865" s="19"/>
      <c r="D865" s="19"/>
      <c r="E865" s="19"/>
      <c r="F865" s="19"/>
    </row>
    <row r="866" spans="1:6" ht="15.75" customHeight="1" x14ac:dyDescent="0.3">
      <c r="A866" s="19"/>
      <c r="B866" s="19"/>
      <c r="C866" s="19"/>
      <c r="D866" s="19"/>
      <c r="E866" s="19"/>
      <c r="F866" s="19"/>
    </row>
    <row r="867" spans="1:6" ht="15.75" customHeight="1" x14ac:dyDescent="0.3">
      <c r="A867" s="19"/>
      <c r="B867" s="19"/>
      <c r="C867" s="19"/>
      <c r="D867" s="19"/>
      <c r="E867" s="19"/>
      <c r="F867" s="19"/>
    </row>
    <row r="868" spans="1:6" ht="15.75" customHeight="1" x14ac:dyDescent="0.3">
      <c r="A868" s="19"/>
      <c r="B868" s="19"/>
      <c r="C868" s="19"/>
      <c r="D868" s="19"/>
      <c r="E868" s="19"/>
      <c r="F868" s="19"/>
    </row>
    <row r="869" spans="1:6" ht="15.75" customHeight="1" x14ac:dyDescent="0.3">
      <c r="A869" s="19"/>
      <c r="B869" s="19"/>
      <c r="C869" s="19"/>
      <c r="D869" s="19"/>
      <c r="E869" s="19"/>
      <c r="F869" s="19"/>
    </row>
    <row r="870" spans="1:6" ht="15.75" customHeight="1" x14ac:dyDescent="0.3">
      <c r="A870" s="19"/>
      <c r="B870" s="19"/>
      <c r="C870" s="19"/>
      <c r="D870" s="19"/>
      <c r="E870" s="19"/>
      <c r="F870" s="19"/>
    </row>
    <row r="871" spans="1:6" ht="15.75" customHeight="1" x14ac:dyDescent="0.3">
      <c r="A871" s="19"/>
      <c r="B871" s="19"/>
      <c r="C871" s="19"/>
      <c r="D871" s="19"/>
      <c r="E871" s="19"/>
      <c r="F871" s="19"/>
    </row>
    <row r="872" spans="1:6" ht="15.75" customHeight="1" x14ac:dyDescent="0.3">
      <c r="A872" s="19"/>
      <c r="B872" s="19"/>
      <c r="C872" s="19"/>
      <c r="D872" s="19"/>
      <c r="E872" s="19"/>
      <c r="F872" s="19"/>
    </row>
    <row r="873" spans="1:6" ht="15.75" customHeight="1" x14ac:dyDescent="0.3">
      <c r="A873" s="19"/>
      <c r="B873" s="19"/>
      <c r="C873" s="19"/>
      <c r="D873" s="19"/>
      <c r="E873" s="19"/>
      <c r="F873" s="19"/>
    </row>
    <row r="874" spans="1:6" ht="15.75" customHeight="1" x14ac:dyDescent="0.3">
      <c r="A874" s="19"/>
      <c r="B874" s="19"/>
      <c r="C874" s="19"/>
      <c r="D874" s="19"/>
      <c r="E874" s="19"/>
      <c r="F874" s="19"/>
    </row>
    <row r="875" spans="1:6" ht="15.75" customHeight="1" x14ac:dyDescent="0.3">
      <c r="A875" s="19"/>
      <c r="B875" s="19"/>
      <c r="C875" s="19"/>
      <c r="D875" s="19"/>
      <c r="E875" s="19"/>
      <c r="F875" s="19"/>
    </row>
    <row r="876" spans="1:6" ht="15.75" customHeight="1" x14ac:dyDescent="0.3">
      <c r="A876" s="19"/>
      <c r="B876" s="19"/>
      <c r="C876" s="19"/>
      <c r="D876" s="19"/>
      <c r="E876" s="19"/>
      <c r="F876" s="19"/>
    </row>
    <row r="877" spans="1:6" ht="15.75" customHeight="1" x14ac:dyDescent="0.3">
      <c r="A877" s="19"/>
      <c r="B877" s="19"/>
      <c r="C877" s="19"/>
      <c r="D877" s="19"/>
      <c r="E877" s="19"/>
      <c r="F877" s="19"/>
    </row>
    <row r="878" spans="1:6" ht="15.75" customHeight="1" x14ac:dyDescent="0.3">
      <c r="A878" s="19"/>
      <c r="B878" s="19"/>
      <c r="C878" s="19"/>
      <c r="D878" s="19"/>
      <c r="E878" s="19"/>
      <c r="F878" s="19"/>
    </row>
    <row r="879" spans="1:6" ht="15.75" customHeight="1" x14ac:dyDescent="0.3">
      <c r="A879" s="19"/>
      <c r="B879" s="19"/>
      <c r="C879" s="19"/>
      <c r="D879" s="19"/>
      <c r="E879" s="19"/>
      <c r="F879" s="19"/>
    </row>
    <row r="880" spans="1:6" ht="15.75" customHeight="1" x14ac:dyDescent="0.3">
      <c r="A880" s="19"/>
      <c r="B880" s="19"/>
      <c r="C880" s="19"/>
      <c r="D880" s="19"/>
      <c r="E880" s="19"/>
      <c r="F880" s="19"/>
    </row>
    <row r="881" spans="1:6" ht="15.75" customHeight="1" x14ac:dyDescent="0.3">
      <c r="A881" s="19"/>
      <c r="B881" s="19"/>
      <c r="C881" s="19"/>
      <c r="D881" s="19"/>
      <c r="E881" s="19"/>
      <c r="F881" s="19"/>
    </row>
    <row r="882" spans="1:6" ht="15.75" customHeight="1" x14ac:dyDescent="0.3">
      <c r="A882" s="19"/>
      <c r="B882" s="19"/>
      <c r="C882" s="19"/>
      <c r="D882" s="19"/>
      <c r="E882" s="19"/>
      <c r="F882" s="19"/>
    </row>
    <row r="883" spans="1:6" ht="15.75" customHeight="1" x14ac:dyDescent="0.3">
      <c r="A883" s="19"/>
      <c r="B883" s="19"/>
      <c r="C883" s="19"/>
      <c r="D883" s="19"/>
      <c r="E883" s="19"/>
      <c r="F883" s="19"/>
    </row>
    <row r="884" spans="1:6" ht="15.75" customHeight="1" x14ac:dyDescent="0.3">
      <c r="A884" s="19"/>
      <c r="B884" s="19"/>
      <c r="C884" s="19"/>
      <c r="D884" s="19"/>
      <c r="E884" s="19"/>
      <c r="F884" s="19"/>
    </row>
    <row r="885" spans="1:6" ht="15.75" customHeight="1" x14ac:dyDescent="0.3">
      <c r="A885" s="19"/>
      <c r="B885" s="19"/>
      <c r="C885" s="19"/>
      <c r="D885" s="19"/>
      <c r="E885" s="19"/>
      <c r="F885" s="19"/>
    </row>
    <row r="886" spans="1:6" ht="15.75" customHeight="1" x14ac:dyDescent="0.3">
      <c r="A886" s="19"/>
      <c r="B886" s="19"/>
      <c r="C886" s="19"/>
      <c r="D886" s="19"/>
      <c r="E886" s="19"/>
      <c r="F886" s="19"/>
    </row>
    <row r="887" spans="1:6" ht="15.75" customHeight="1" x14ac:dyDescent="0.3">
      <c r="A887" s="19"/>
      <c r="B887" s="19"/>
      <c r="C887" s="19"/>
      <c r="D887" s="19"/>
      <c r="E887" s="19"/>
      <c r="F887" s="19"/>
    </row>
    <row r="888" spans="1:6" ht="15.75" customHeight="1" x14ac:dyDescent="0.3">
      <c r="A888" s="19"/>
      <c r="B888" s="19"/>
      <c r="C888" s="19"/>
      <c r="D888" s="19"/>
      <c r="E888" s="19"/>
      <c r="F888" s="19"/>
    </row>
    <row r="889" spans="1:6" ht="15.75" customHeight="1" x14ac:dyDescent="0.3">
      <c r="A889" s="19"/>
      <c r="B889" s="19"/>
      <c r="C889" s="19"/>
      <c r="D889" s="19"/>
      <c r="E889" s="19"/>
      <c r="F889" s="19"/>
    </row>
    <row r="890" spans="1:6" ht="15.75" customHeight="1" x14ac:dyDescent="0.3">
      <c r="A890" s="19"/>
      <c r="B890" s="19"/>
      <c r="C890" s="19"/>
      <c r="D890" s="19"/>
      <c r="E890" s="19"/>
      <c r="F890" s="19"/>
    </row>
    <row r="891" spans="1:6" ht="15.75" customHeight="1" x14ac:dyDescent="0.3">
      <c r="A891" s="19"/>
      <c r="B891" s="19"/>
      <c r="C891" s="19"/>
      <c r="D891" s="19"/>
      <c r="E891" s="19"/>
      <c r="F891" s="19"/>
    </row>
    <row r="892" spans="1:6" ht="15.75" customHeight="1" x14ac:dyDescent="0.3">
      <c r="A892" s="19"/>
      <c r="B892" s="19"/>
      <c r="C892" s="19"/>
      <c r="D892" s="19"/>
      <c r="E892" s="19"/>
      <c r="F892" s="19"/>
    </row>
    <row r="893" spans="1:6" ht="15.75" customHeight="1" x14ac:dyDescent="0.3">
      <c r="A893" s="19"/>
      <c r="B893" s="19"/>
      <c r="C893" s="19"/>
      <c r="D893" s="19"/>
      <c r="E893" s="19"/>
      <c r="F893" s="19"/>
    </row>
    <row r="894" spans="1:6" ht="15.75" customHeight="1" x14ac:dyDescent="0.3">
      <c r="A894" s="19"/>
      <c r="B894" s="19"/>
      <c r="C894" s="19"/>
      <c r="D894" s="19"/>
      <c r="E894" s="19"/>
      <c r="F894" s="19"/>
    </row>
    <row r="895" spans="1:6" ht="15.75" customHeight="1" x14ac:dyDescent="0.3">
      <c r="A895" s="19"/>
      <c r="B895" s="19"/>
      <c r="C895" s="19"/>
      <c r="D895" s="19"/>
      <c r="E895" s="19"/>
      <c r="F895" s="19"/>
    </row>
    <row r="896" spans="1:6" ht="15.75" customHeight="1" x14ac:dyDescent="0.3">
      <c r="A896" s="19"/>
      <c r="B896" s="19"/>
      <c r="C896" s="19"/>
      <c r="D896" s="19"/>
      <c r="E896" s="19"/>
      <c r="F896" s="19"/>
    </row>
    <row r="897" spans="1:6" ht="15.75" customHeight="1" x14ac:dyDescent="0.3">
      <c r="A897" s="19"/>
      <c r="B897" s="19"/>
      <c r="C897" s="19"/>
      <c r="D897" s="19"/>
      <c r="E897" s="19"/>
      <c r="F897" s="19"/>
    </row>
    <row r="898" spans="1:6" ht="15.75" customHeight="1" x14ac:dyDescent="0.3">
      <c r="A898" s="19"/>
      <c r="B898" s="19"/>
      <c r="C898" s="19"/>
      <c r="D898" s="19"/>
      <c r="E898" s="19"/>
      <c r="F898" s="19"/>
    </row>
    <row r="899" spans="1:6" ht="15.75" customHeight="1" x14ac:dyDescent="0.3">
      <c r="A899" s="19"/>
      <c r="B899" s="19"/>
      <c r="C899" s="19"/>
      <c r="D899" s="19"/>
      <c r="E899" s="19"/>
      <c r="F899" s="19"/>
    </row>
    <row r="900" spans="1:6" ht="15.75" customHeight="1" x14ac:dyDescent="0.3">
      <c r="A900" s="19"/>
      <c r="B900" s="19"/>
      <c r="C900" s="19"/>
      <c r="D900" s="19"/>
      <c r="E900" s="19"/>
      <c r="F900" s="19"/>
    </row>
    <row r="901" spans="1:6" ht="15.75" customHeight="1" x14ac:dyDescent="0.3">
      <c r="A901" s="19"/>
      <c r="B901" s="19"/>
      <c r="C901" s="19"/>
      <c r="D901" s="19"/>
      <c r="E901" s="19"/>
      <c r="F901" s="19"/>
    </row>
    <row r="902" spans="1:6" ht="15.75" customHeight="1" x14ac:dyDescent="0.3">
      <c r="A902" s="19"/>
      <c r="B902" s="19"/>
      <c r="C902" s="19"/>
      <c r="D902" s="19"/>
      <c r="E902" s="19"/>
      <c r="F902" s="19"/>
    </row>
    <row r="903" spans="1:6" ht="15.75" customHeight="1" x14ac:dyDescent="0.3">
      <c r="A903" s="19"/>
      <c r="B903" s="19"/>
      <c r="C903" s="19"/>
      <c r="D903" s="19"/>
      <c r="E903" s="19"/>
      <c r="F903" s="19"/>
    </row>
    <row r="904" spans="1:6" ht="15.75" customHeight="1" x14ac:dyDescent="0.3">
      <c r="A904" s="19"/>
      <c r="B904" s="19"/>
      <c r="C904" s="19"/>
      <c r="D904" s="19"/>
      <c r="E904" s="19"/>
      <c r="F904" s="19"/>
    </row>
    <row r="905" spans="1:6" ht="15.75" customHeight="1" x14ac:dyDescent="0.3">
      <c r="A905" s="19"/>
      <c r="B905" s="19"/>
      <c r="C905" s="19"/>
      <c r="D905" s="19"/>
      <c r="E905" s="19"/>
      <c r="F905" s="19"/>
    </row>
    <row r="906" spans="1:6" ht="15.75" customHeight="1" x14ac:dyDescent="0.3">
      <c r="A906" s="19"/>
      <c r="B906" s="19"/>
      <c r="C906" s="19"/>
      <c r="D906" s="19"/>
      <c r="E906" s="19"/>
      <c r="F906" s="19"/>
    </row>
    <row r="907" spans="1:6" ht="15.75" customHeight="1" x14ac:dyDescent="0.3">
      <c r="A907" s="19"/>
      <c r="B907" s="19"/>
      <c r="C907" s="19"/>
      <c r="D907" s="19"/>
      <c r="E907" s="19"/>
      <c r="F907" s="19"/>
    </row>
    <row r="908" spans="1:6" ht="15.75" customHeight="1" x14ac:dyDescent="0.3">
      <c r="A908" s="19"/>
      <c r="B908" s="19"/>
      <c r="C908" s="19"/>
      <c r="D908" s="19"/>
      <c r="E908" s="19"/>
      <c r="F908" s="19"/>
    </row>
    <row r="909" spans="1:6" ht="15.75" customHeight="1" x14ac:dyDescent="0.3">
      <c r="A909" s="19"/>
      <c r="B909" s="19"/>
      <c r="C909" s="19"/>
      <c r="D909" s="19"/>
      <c r="E909" s="19"/>
      <c r="F909" s="19"/>
    </row>
    <row r="910" spans="1:6" ht="15.75" customHeight="1" x14ac:dyDescent="0.3">
      <c r="A910" s="19"/>
      <c r="B910" s="19"/>
      <c r="C910" s="19"/>
      <c r="D910" s="19"/>
      <c r="E910" s="19"/>
      <c r="F910" s="19"/>
    </row>
    <row r="911" spans="1:6" ht="15.75" customHeight="1" x14ac:dyDescent="0.3">
      <c r="A911" s="19"/>
      <c r="B911" s="19"/>
      <c r="C911" s="19"/>
      <c r="D911" s="19"/>
      <c r="E911" s="19"/>
      <c r="F911" s="19"/>
    </row>
    <row r="912" spans="1:6" ht="15.75" customHeight="1" x14ac:dyDescent="0.3">
      <c r="A912" s="19"/>
      <c r="B912" s="19"/>
      <c r="C912" s="19"/>
      <c r="D912" s="19"/>
      <c r="E912" s="19"/>
      <c r="F912" s="19"/>
    </row>
    <row r="913" spans="1:6" ht="15.75" customHeight="1" x14ac:dyDescent="0.3">
      <c r="A913" s="19"/>
      <c r="B913" s="19"/>
      <c r="C913" s="19"/>
      <c r="D913" s="19"/>
      <c r="E913" s="19"/>
      <c r="F913" s="19"/>
    </row>
    <row r="914" spans="1:6" ht="15.75" customHeight="1" x14ac:dyDescent="0.3">
      <c r="A914" s="19"/>
      <c r="B914" s="19"/>
      <c r="C914" s="19"/>
      <c r="D914" s="19"/>
      <c r="E914" s="19"/>
      <c r="F914" s="19"/>
    </row>
    <row r="915" spans="1:6" ht="15.75" customHeight="1" x14ac:dyDescent="0.3">
      <c r="A915" s="19"/>
      <c r="B915" s="19"/>
      <c r="C915" s="19"/>
      <c r="D915" s="19"/>
      <c r="E915" s="19"/>
      <c r="F915" s="19"/>
    </row>
    <row r="916" spans="1:6" ht="15.75" customHeight="1" x14ac:dyDescent="0.3">
      <c r="A916" s="19"/>
      <c r="B916" s="19"/>
      <c r="C916" s="19"/>
      <c r="D916" s="19"/>
      <c r="E916" s="19"/>
      <c r="F916" s="19"/>
    </row>
    <row r="917" spans="1:6" ht="15.75" customHeight="1" x14ac:dyDescent="0.3">
      <c r="A917" s="19"/>
      <c r="B917" s="19"/>
      <c r="C917" s="19"/>
      <c r="D917" s="19"/>
      <c r="E917" s="19"/>
      <c r="F917" s="19"/>
    </row>
    <row r="918" spans="1:6" ht="15.75" customHeight="1" x14ac:dyDescent="0.3">
      <c r="A918" s="19"/>
      <c r="B918" s="19"/>
      <c r="C918" s="19"/>
      <c r="D918" s="19"/>
      <c r="E918" s="19"/>
      <c r="F918" s="19"/>
    </row>
    <row r="919" spans="1:6" ht="15.75" customHeight="1" x14ac:dyDescent="0.3">
      <c r="A919" s="19"/>
      <c r="B919" s="19"/>
      <c r="C919" s="19"/>
      <c r="D919" s="19"/>
      <c r="E919" s="19"/>
      <c r="F919" s="19"/>
    </row>
    <row r="920" spans="1:6" ht="15.75" customHeight="1" x14ac:dyDescent="0.3">
      <c r="A920" s="19"/>
      <c r="B920" s="19"/>
      <c r="C920" s="19"/>
      <c r="D920" s="19"/>
      <c r="E920" s="19"/>
      <c r="F920" s="19"/>
    </row>
    <row r="921" spans="1:6" ht="15.75" customHeight="1" x14ac:dyDescent="0.3">
      <c r="A921" s="19"/>
      <c r="B921" s="19"/>
      <c r="C921" s="19"/>
      <c r="D921" s="19"/>
      <c r="E921" s="19"/>
      <c r="F921" s="19"/>
    </row>
    <row r="922" spans="1:6" ht="15.75" customHeight="1" x14ac:dyDescent="0.3">
      <c r="A922" s="19"/>
      <c r="B922" s="19"/>
      <c r="C922" s="19"/>
      <c r="D922" s="19"/>
      <c r="E922" s="19"/>
      <c r="F922" s="19"/>
    </row>
    <row r="923" spans="1:6" ht="15.75" customHeight="1" x14ac:dyDescent="0.3">
      <c r="A923" s="19"/>
      <c r="B923" s="19"/>
      <c r="C923" s="19"/>
      <c r="D923" s="19"/>
      <c r="E923" s="19"/>
      <c r="F923" s="19"/>
    </row>
    <row r="924" spans="1:6" ht="15.75" customHeight="1" x14ac:dyDescent="0.3">
      <c r="A924" s="19"/>
      <c r="B924" s="19"/>
      <c r="C924" s="19"/>
      <c r="D924" s="19"/>
      <c r="E924" s="19"/>
      <c r="F924" s="19"/>
    </row>
    <row r="925" spans="1:6" ht="15.75" customHeight="1" x14ac:dyDescent="0.3">
      <c r="A925" s="19"/>
      <c r="B925" s="19"/>
      <c r="C925" s="19"/>
      <c r="D925" s="19"/>
      <c r="E925" s="19"/>
      <c r="F925" s="19"/>
    </row>
    <row r="926" spans="1:6" ht="15.75" customHeight="1" x14ac:dyDescent="0.3">
      <c r="A926" s="19"/>
      <c r="B926" s="19"/>
      <c r="C926" s="19"/>
      <c r="D926" s="19"/>
      <c r="E926" s="19"/>
      <c r="F926" s="19"/>
    </row>
    <row r="927" spans="1:6" ht="15.75" customHeight="1" x14ac:dyDescent="0.3">
      <c r="A927" s="19"/>
      <c r="B927" s="19"/>
      <c r="C927" s="19"/>
      <c r="D927" s="19"/>
      <c r="E927" s="19"/>
      <c r="F927" s="19"/>
    </row>
    <row r="928" spans="1:6" ht="15.75" customHeight="1" x14ac:dyDescent="0.3">
      <c r="A928" s="19"/>
      <c r="B928" s="19"/>
      <c r="C928" s="19"/>
      <c r="D928" s="19"/>
      <c r="E928" s="19"/>
      <c r="F928" s="19"/>
    </row>
    <row r="929" spans="1:6" ht="15.75" customHeight="1" x14ac:dyDescent="0.3">
      <c r="A929" s="19"/>
      <c r="B929" s="19"/>
      <c r="C929" s="19"/>
      <c r="D929" s="19"/>
      <c r="E929" s="19"/>
      <c r="F929" s="19"/>
    </row>
    <row r="930" spans="1:6" ht="15.75" customHeight="1" x14ac:dyDescent="0.3">
      <c r="A930" s="19"/>
      <c r="B930" s="19"/>
      <c r="C930" s="19"/>
      <c r="D930" s="19"/>
      <c r="E930" s="19"/>
      <c r="F930" s="19"/>
    </row>
    <row r="931" spans="1:6" ht="15.75" customHeight="1" x14ac:dyDescent="0.3">
      <c r="A931" s="19"/>
      <c r="B931" s="19"/>
      <c r="C931" s="19"/>
      <c r="D931" s="19"/>
      <c r="E931" s="19"/>
      <c r="F931" s="19"/>
    </row>
    <row r="932" spans="1:6" ht="15.75" customHeight="1" x14ac:dyDescent="0.3">
      <c r="A932" s="19"/>
      <c r="B932" s="19"/>
      <c r="C932" s="19"/>
      <c r="D932" s="19"/>
      <c r="E932" s="19"/>
      <c r="F932" s="19"/>
    </row>
    <row r="933" spans="1:6" ht="15.75" customHeight="1" x14ac:dyDescent="0.3">
      <c r="A933" s="19"/>
      <c r="B933" s="19"/>
      <c r="C933" s="19"/>
      <c r="D933" s="19"/>
      <c r="E933" s="19"/>
      <c r="F933" s="19"/>
    </row>
    <row r="934" spans="1:6" ht="15.75" customHeight="1" x14ac:dyDescent="0.3">
      <c r="A934" s="19"/>
      <c r="B934" s="19"/>
      <c r="C934" s="19"/>
      <c r="D934" s="19"/>
      <c r="E934" s="19"/>
      <c r="F934" s="19"/>
    </row>
    <row r="935" spans="1:6" ht="15.75" customHeight="1" x14ac:dyDescent="0.3">
      <c r="A935" s="19"/>
      <c r="B935" s="19"/>
      <c r="C935" s="19"/>
      <c r="D935" s="19"/>
      <c r="E935" s="19"/>
      <c r="F935" s="19"/>
    </row>
    <row r="936" spans="1:6" ht="15.75" customHeight="1" x14ac:dyDescent="0.3">
      <c r="A936" s="19"/>
      <c r="B936" s="19"/>
      <c r="C936" s="19"/>
      <c r="D936" s="19"/>
      <c r="E936" s="19"/>
      <c r="F936" s="19"/>
    </row>
    <row r="937" spans="1:6" ht="15.75" customHeight="1" x14ac:dyDescent="0.3">
      <c r="A937" s="19"/>
      <c r="B937" s="19"/>
      <c r="C937" s="19"/>
      <c r="D937" s="19"/>
      <c r="E937" s="19"/>
      <c r="F937" s="19"/>
    </row>
    <row r="938" spans="1:6" ht="15.75" customHeight="1" x14ac:dyDescent="0.3">
      <c r="A938" s="19"/>
      <c r="B938" s="19"/>
      <c r="C938" s="19"/>
      <c r="D938" s="19"/>
      <c r="E938" s="19"/>
      <c r="F938" s="19"/>
    </row>
    <row r="939" spans="1:6" ht="15.75" customHeight="1" x14ac:dyDescent="0.3">
      <c r="A939" s="19"/>
      <c r="B939" s="19"/>
      <c r="C939" s="19"/>
      <c r="D939" s="19"/>
      <c r="E939" s="19"/>
      <c r="F939" s="19"/>
    </row>
    <row r="940" spans="1:6" ht="15.75" customHeight="1" x14ac:dyDescent="0.3">
      <c r="A940" s="19"/>
      <c r="B940" s="19"/>
      <c r="C940" s="19"/>
      <c r="D940" s="19"/>
      <c r="E940" s="19"/>
      <c r="F940" s="19"/>
    </row>
    <row r="941" spans="1:6" ht="15.75" customHeight="1" x14ac:dyDescent="0.3">
      <c r="A941" s="19"/>
      <c r="B941" s="19"/>
      <c r="C941" s="19"/>
      <c r="D941" s="19"/>
      <c r="E941" s="19"/>
      <c r="F941" s="19"/>
    </row>
    <row r="942" spans="1:6" ht="15.75" customHeight="1" x14ac:dyDescent="0.3">
      <c r="A942" s="19"/>
      <c r="B942" s="19"/>
      <c r="C942" s="19"/>
      <c r="D942" s="19"/>
      <c r="E942" s="19"/>
      <c r="F942" s="19"/>
    </row>
    <row r="943" spans="1:6" ht="15.75" customHeight="1" x14ac:dyDescent="0.3">
      <c r="A943" s="19"/>
      <c r="B943" s="19"/>
      <c r="C943" s="19"/>
      <c r="D943" s="19"/>
      <c r="E943" s="19"/>
      <c r="F943" s="19"/>
    </row>
    <row r="944" spans="1:6" ht="15.75" customHeight="1" x14ac:dyDescent="0.3">
      <c r="A944" s="19"/>
      <c r="B944" s="19"/>
      <c r="C944" s="19"/>
      <c r="D944" s="19"/>
      <c r="E944" s="19"/>
      <c r="F944" s="19"/>
    </row>
    <row r="945" spans="1:6" ht="15.75" customHeight="1" x14ac:dyDescent="0.3">
      <c r="A945" s="19"/>
      <c r="B945" s="19"/>
      <c r="C945" s="19"/>
      <c r="D945" s="19"/>
      <c r="E945" s="19"/>
      <c r="F945" s="19"/>
    </row>
    <row r="946" spans="1:6" ht="15.75" customHeight="1" x14ac:dyDescent="0.3">
      <c r="A946" s="19"/>
      <c r="B946" s="19"/>
      <c r="C946" s="19"/>
      <c r="D946" s="19"/>
      <c r="E946" s="19"/>
      <c r="F946" s="19"/>
    </row>
    <row r="947" spans="1:6" ht="15.75" customHeight="1" x14ac:dyDescent="0.3">
      <c r="A947" s="19"/>
      <c r="B947" s="19"/>
      <c r="C947" s="19"/>
      <c r="D947" s="19"/>
      <c r="E947" s="19"/>
      <c r="F947" s="19"/>
    </row>
    <row r="948" spans="1:6" ht="15.75" customHeight="1" x14ac:dyDescent="0.3">
      <c r="A948" s="19"/>
      <c r="B948" s="19"/>
      <c r="C948" s="19"/>
      <c r="D948" s="19"/>
      <c r="E948" s="19"/>
      <c r="F948" s="19"/>
    </row>
    <row r="949" spans="1:6" ht="15.75" customHeight="1" x14ac:dyDescent="0.3">
      <c r="A949" s="19"/>
      <c r="B949" s="19"/>
      <c r="C949" s="19"/>
      <c r="D949" s="19"/>
      <c r="E949" s="19"/>
      <c r="F949" s="19"/>
    </row>
    <row r="950" spans="1:6" ht="15.75" customHeight="1" x14ac:dyDescent="0.3">
      <c r="A950" s="19"/>
      <c r="B950" s="19"/>
      <c r="C950" s="19"/>
      <c r="D950" s="19"/>
      <c r="E950" s="19"/>
      <c r="F950" s="19"/>
    </row>
    <row r="951" spans="1:6" ht="15.75" customHeight="1" x14ac:dyDescent="0.3">
      <c r="A951" s="19"/>
      <c r="B951" s="19"/>
      <c r="C951" s="19"/>
      <c r="D951" s="19"/>
      <c r="E951" s="19"/>
      <c r="F951" s="19"/>
    </row>
    <row r="952" spans="1:6" ht="15.75" customHeight="1" x14ac:dyDescent="0.3">
      <c r="A952" s="19"/>
      <c r="B952" s="19"/>
      <c r="C952" s="19"/>
      <c r="D952" s="19"/>
      <c r="E952" s="19"/>
      <c r="F952" s="19"/>
    </row>
    <row r="953" spans="1:6" ht="15.75" customHeight="1" x14ac:dyDescent="0.3">
      <c r="A953" s="19"/>
      <c r="B953" s="19"/>
      <c r="C953" s="19"/>
      <c r="D953" s="19"/>
      <c r="E953" s="19"/>
      <c r="F953" s="19"/>
    </row>
    <row r="954" spans="1:6" ht="15.75" customHeight="1" x14ac:dyDescent="0.3">
      <c r="A954" s="19"/>
      <c r="B954" s="19"/>
      <c r="C954" s="19"/>
      <c r="D954" s="19"/>
      <c r="E954" s="19"/>
      <c r="F954" s="19"/>
    </row>
    <row r="955" spans="1:6" ht="15.75" customHeight="1" x14ac:dyDescent="0.3">
      <c r="A955" s="19"/>
      <c r="B955" s="19"/>
      <c r="C955" s="19"/>
      <c r="D955" s="19"/>
      <c r="E955" s="19"/>
      <c r="F955" s="19"/>
    </row>
    <row r="956" spans="1:6" ht="15.75" customHeight="1" x14ac:dyDescent="0.3">
      <c r="A956" s="19"/>
      <c r="B956" s="19"/>
      <c r="C956" s="19"/>
      <c r="D956" s="19"/>
      <c r="E956" s="19"/>
      <c r="F956" s="19"/>
    </row>
    <row r="957" spans="1:6" ht="15.75" customHeight="1" x14ac:dyDescent="0.3">
      <c r="A957" s="19"/>
      <c r="B957" s="19"/>
      <c r="C957" s="19"/>
      <c r="D957" s="19"/>
      <c r="E957" s="19"/>
      <c r="F957" s="19"/>
    </row>
    <row r="958" spans="1:6" ht="15.75" customHeight="1" x14ac:dyDescent="0.3">
      <c r="A958" s="19"/>
      <c r="B958" s="19"/>
      <c r="C958" s="19"/>
      <c r="D958" s="19"/>
      <c r="E958" s="19"/>
      <c r="F958" s="19"/>
    </row>
    <row r="959" spans="1:6" ht="15.75" customHeight="1" x14ac:dyDescent="0.3">
      <c r="A959" s="19"/>
      <c r="B959" s="19"/>
      <c r="C959" s="19"/>
      <c r="D959" s="19"/>
      <c r="E959" s="19"/>
      <c r="F959" s="19"/>
    </row>
    <row r="960" spans="1:6" ht="15.75" customHeight="1" x14ac:dyDescent="0.3">
      <c r="A960" s="19"/>
      <c r="B960" s="19"/>
      <c r="C960" s="19"/>
      <c r="D960" s="19"/>
      <c r="E960" s="19"/>
      <c r="F960" s="19"/>
    </row>
    <row r="961" spans="1:6" ht="15.75" customHeight="1" x14ac:dyDescent="0.3">
      <c r="A961" s="19"/>
      <c r="B961" s="19"/>
      <c r="C961" s="19"/>
      <c r="D961" s="19"/>
      <c r="E961" s="19"/>
      <c r="F961" s="19"/>
    </row>
    <row r="962" spans="1:6" ht="15.75" customHeight="1" x14ac:dyDescent="0.3">
      <c r="A962" s="19"/>
      <c r="B962" s="19"/>
      <c r="C962" s="19"/>
      <c r="D962" s="19"/>
      <c r="E962" s="19"/>
      <c r="F962" s="19"/>
    </row>
    <row r="963" spans="1:6" ht="15.75" customHeight="1" x14ac:dyDescent="0.3">
      <c r="A963" s="19"/>
      <c r="B963" s="19"/>
      <c r="C963" s="19"/>
      <c r="D963" s="19"/>
      <c r="E963" s="19"/>
      <c r="F963" s="19"/>
    </row>
    <row r="964" spans="1:6" ht="15.75" customHeight="1" x14ac:dyDescent="0.3">
      <c r="A964" s="19"/>
      <c r="B964" s="19"/>
      <c r="C964" s="19"/>
      <c r="D964" s="19"/>
      <c r="E964" s="19"/>
      <c r="F964" s="19"/>
    </row>
    <row r="965" spans="1:6" ht="15.75" customHeight="1" x14ac:dyDescent="0.3">
      <c r="A965" s="19"/>
      <c r="B965" s="19"/>
      <c r="C965" s="19"/>
      <c r="D965" s="19"/>
      <c r="E965" s="19"/>
      <c r="F965" s="19"/>
    </row>
    <row r="966" spans="1:6" ht="15.75" customHeight="1" x14ac:dyDescent="0.3">
      <c r="A966" s="19"/>
      <c r="B966" s="19"/>
      <c r="C966" s="19"/>
      <c r="D966" s="19"/>
      <c r="E966" s="19"/>
      <c r="F966" s="19"/>
    </row>
    <row r="967" spans="1:6" ht="15.75" customHeight="1" x14ac:dyDescent="0.3">
      <c r="A967" s="19"/>
      <c r="B967" s="19"/>
      <c r="C967" s="19"/>
      <c r="D967" s="19"/>
      <c r="E967" s="19"/>
      <c r="F967" s="19"/>
    </row>
    <row r="968" spans="1:6" ht="15.75" customHeight="1" x14ac:dyDescent="0.3">
      <c r="A968" s="19"/>
      <c r="B968" s="19"/>
      <c r="C968" s="19"/>
      <c r="D968" s="19"/>
      <c r="E968" s="19"/>
      <c r="F968" s="19"/>
    </row>
    <row r="969" spans="1:6" ht="15.75" customHeight="1" x14ac:dyDescent="0.3">
      <c r="A969" s="19"/>
      <c r="B969" s="19"/>
      <c r="C969" s="19"/>
      <c r="D969" s="19"/>
      <c r="E969" s="19"/>
      <c r="F969" s="19"/>
    </row>
    <row r="970" spans="1:6" ht="15.75" customHeight="1" x14ac:dyDescent="0.3">
      <c r="A970" s="19"/>
      <c r="B970" s="19"/>
      <c r="C970" s="19"/>
      <c r="D970" s="19"/>
      <c r="E970" s="19"/>
      <c r="F970" s="19"/>
    </row>
    <row r="971" spans="1:6" ht="15.75" customHeight="1" x14ac:dyDescent="0.3">
      <c r="A971" s="19"/>
      <c r="B971" s="19"/>
      <c r="C971" s="19"/>
      <c r="D971" s="19"/>
      <c r="E971" s="19"/>
      <c r="F971" s="19"/>
    </row>
    <row r="972" spans="1:6" ht="15.75" customHeight="1" x14ac:dyDescent="0.3">
      <c r="A972" s="19"/>
      <c r="B972" s="19"/>
      <c r="C972" s="19"/>
      <c r="D972" s="19"/>
      <c r="E972" s="19"/>
      <c r="F972" s="19"/>
    </row>
    <row r="973" spans="1:6" ht="15.75" customHeight="1" x14ac:dyDescent="0.3">
      <c r="A973" s="19"/>
      <c r="B973" s="19"/>
      <c r="C973" s="19"/>
      <c r="D973" s="19"/>
      <c r="E973" s="19"/>
      <c r="F973" s="19"/>
    </row>
    <row r="974" spans="1:6" ht="15.75" customHeight="1" x14ac:dyDescent="0.3">
      <c r="A974" s="19"/>
      <c r="B974" s="19"/>
      <c r="C974" s="19"/>
      <c r="D974" s="19"/>
      <c r="E974" s="19"/>
      <c r="F974" s="19"/>
    </row>
    <row r="975" spans="1:6" ht="15.75" customHeight="1" x14ac:dyDescent="0.3">
      <c r="A975" s="19"/>
      <c r="B975" s="19"/>
      <c r="C975" s="19"/>
      <c r="D975" s="19"/>
      <c r="E975" s="19"/>
      <c r="F975" s="19"/>
    </row>
    <row r="976" spans="1:6" ht="15.75" customHeight="1" x14ac:dyDescent="0.3">
      <c r="A976" s="19"/>
      <c r="B976" s="19"/>
      <c r="C976" s="19"/>
      <c r="D976" s="19"/>
      <c r="E976" s="19"/>
      <c r="F976" s="19"/>
    </row>
    <row r="977" spans="1:6" ht="15.75" customHeight="1" x14ac:dyDescent="0.3">
      <c r="A977" s="19"/>
      <c r="B977" s="19"/>
      <c r="C977" s="19"/>
      <c r="D977" s="19"/>
      <c r="E977" s="19"/>
      <c r="F977" s="19"/>
    </row>
    <row r="978" spans="1:6" ht="15.75" customHeight="1" x14ac:dyDescent="0.3">
      <c r="A978" s="19"/>
      <c r="B978" s="19"/>
      <c r="C978" s="19"/>
      <c r="D978" s="19"/>
      <c r="E978" s="19"/>
      <c r="F978" s="19"/>
    </row>
    <row r="979" spans="1:6" ht="15.75" customHeight="1" x14ac:dyDescent="0.3">
      <c r="A979" s="19"/>
      <c r="B979" s="19"/>
      <c r="C979" s="19"/>
      <c r="D979" s="19"/>
      <c r="E979" s="19"/>
      <c r="F979" s="19"/>
    </row>
    <row r="980" spans="1:6" ht="15.75" customHeight="1" x14ac:dyDescent="0.3">
      <c r="A980" s="19"/>
      <c r="B980" s="19"/>
      <c r="C980" s="19"/>
      <c r="D980" s="19"/>
      <c r="E980" s="19"/>
      <c r="F980" s="19"/>
    </row>
    <row r="981" spans="1:6" ht="15.75" customHeight="1" x14ac:dyDescent="0.3">
      <c r="A981" s="19"/>
      <c r="B981" s="19"/>
      <c r="C981" s="19"/>
      <c r="D981" s="19"/>
      <c r="E981" s="19"/>
      <c r="F981" s="19"/>
    </row>
    <row r="982" spans="1:6" ht="15.75" customHeight="1" x14ac:dyDescent="0.3">
      <c r="A982" s="19"/>
      <c r="B982" s="19"/>
      <c r="C982" s="19"/>
      <c r="D982" s="19"/>
      <c r="E982" s="19"/>
      <c r="F982" s="19"/>
    </row>
    <row r="983" spans="1:6" ht="15.75" customHeight="1" x14ac:dyDescent="0.3">
      <c r="A983" s="19"/>
      <c r="B983" s="19"/>
      <c r="C983" s="19"/>
      <c r="D983" s="19"/>
      <c r="E983" s="19"/>
      <c r="F983" s="19"/>
    </row>
    <row r="984" spans="1:6" ht="15.75" customHeight="1" x14ac:dyDescent="0.3">
      <c r="A984" s="19"/>
      <c r="B984" s="19"/>
      <c r="C984" s="19"/>
      <c r="D984" s="19"/>
      <c r="E984" s="19"/>
      <c r="F984" s="19"/>
    </row>
    <row r="985" spans="1:6" ht="15.75" customHeight="1" x14ac:dyDescent="0.3">
      <c r="A985" s="19"/>
      <c r="B985" s="19"/>
      <c r="C985" s="19"/>
      <c r="D985" s="19"/>
      <c r="E985" s="19"/>
      <c r="F985" s="19"/>
    </row>
    <row r="986" spans="1:6" ht="15.75" customHeight="1" x14ac:dyDescent="0.3">
      <c r="A986" s="19"/>
      <c r="B986" s="19"/>
      <c r="C986" s="19"/>
      <c r="D986" s="19"/>
      <c r="E986" s="19"/>
      <c r="F986" s="19"/>
    </row>
    <row r="987" spans="1:6" ht="15.75" customHeight="1" x14ac:dyDescent="0.3">
      <c r="A987" s="19"/>
      <c r="B987" s="19"/>
      <c r="C987" s="19"/>
      <c r="D987" s="19"/>
      <c r="E987" s="19"/>
      <c r="F987" s="19"/>
    </row>
    <row r="988" spans="1:6" ht="15.75" customHeight="1" x14ac:dyDescent="0.3">
      <c r="A988" s="19"/>
      <c r="B988" s="19"/>
      <c r="C988" s="19"/>
      <c r="D988" s="19"/>
      <c r="E988" s="19"/>
      <c r="F988" s="19"/>
    </row>
    <row r="989" spans="1:6" ht="15.75" customHeight="1" x14ac:dyDescent="0.3">
      <c r="A989" s="19"/>
      <c r="B989" s="19"/>
      <c r="C989" s="19"/>
      <c r="D989" s="19"/>
      <c r="E989" s="19"/>
      <c r="F989" s="19"/>
    </row>
    <row r="990" spans="1:6" ht="15.75" customHeight="1" x14ac:dyDescent="0.3">
      <c r="A990" s="19"/>
      <c r="B990" s="19"/>
      <c r="C990" s="19"/>
      <c r="D990" s="19"/>
      <c r="E990" s="19"/>
      <c r="F990" s="19"/>
    </row>
    <row r="991" spans="1:6" ht="15.75" customHeight="1" x14ac:dyDescent="0.3">
      <c r="A991" s="19"/>
      <c r="B991" s="19"/>
      <c r="C991" s="19"/>
      <c r="D991" s="19"/>
      <c r="E991" s="19"/>
      <c r="F991" s="19"/>
    </row>
    <row r="992" spans="1:6" ht="15.75" customHeight="1" x14ac:dyDescent="0.3">
      <c r="A992" s="19"/>
      <c r="B992" s="19"/>
      <c r="C992" s="19"/>
      <c r="D992" s="19"/>
      <c r="E992" s="19"/>
      <c r="F992" s="19"/>
    </row>
    <row r="993" spans="1:6" ht="15.75" customHeight="1" x14ac:dyDescent="0.3">
      <c r="A993" s="19"/>
      <c r="B993" s="19"/>
      <c r="C993" s="19"/>
      <c r="D993" s="19"/>
      <c r="E993" s="19"/>
      <c r="F993" s="19"/>
    </row>
    <row r="994" spans="1:6" ht="15.75" customHeight="1" x14ac:dyDescent="0.3">
      <c r="A994" s="19"/>
      <c r="B994" s="19"/>
      <c r="C994" s="19"/>
      <c r="D994" s="19"/>
      <c r="E994" s="19"/>
      <c r="F994" s="19"/>
    </row>
    <row r="995" spans="1:6" ht="15.75" customHeight="1" x14ac:dyDescent="0.3">
      <c r="A995" s="19"/>
      <c r="B995" s="19"/>
      <c r="C995" s="19"/>
      <c r="D995" s="19"/>
      <c r="E995" s="19"/>
      <c r="F995" s="19"/>
    </row>
    <row r="996" spans="1:6" ht="15.75" customHeight="1" x14ac:dyDescent="0.3">
      <c r="A996" s="19"/>
      <c r="B996" s="19"/>
      <c r="C996" s="19"/>
      <c r="D996" s="19"/>
      <c r="E996" s="19"/>
      <c r="F996" s="19"/>
    </row>
    <row r="997" spans="1:6" ht="15.75" customHeight="1" x14ac:dyDescent="0.3">
      <c r="A997" s="19"/>
      <c r="B997" s="19"/>
      <c r="C997" s="19"/>
      <c r="D997" s="19"/>
      <c r="E997" s="19"/>
      <c r="F997" s="19"/>
    </row>
    <row r="998" spans="1:6" ht="15.75" customHeight="1" x14ac:dyDescent="0.3">
      <c r="A998" s="19"/>
      <c r="B998" s="19"/>
      <c r="C998" s="19"/>
      <c r="D998" s="19"/>
      <c r="E998" s="19"/>
      <c r="F998" s="19"/>
    </row>
    <row r="999" spans="1:6" ht="15.75" customHeight="1" x14ac:dyDescent="0.3">
      <c r="A999" s="19"/>
      <c r="B999" s="19"/>
      <c r="C999" s="19"/>
      <c r="D999" s="19"/>
      <c r="E999" s="19"/>
      <c r="F999" s="19"/>
    </row>
    <row r="1000" spans="1:6" ht="15.75" customHeight="1" x14ac:dyDescent="0.3">
      <c r="A1000" s="19"/>
      <c r="B1000" s="19"/>
      <c r="C1000" s="19"/>
      <c r="D1000" s="19"/>
      <c r="E1000" s="19"/>
      <c r="F1000" s="19"/>
    </row>
  </sheetData>
  <mergeCells count="4">
    <mergeCell ref="A1:F1"/>
    <mergeCell ref="A2:F2"/>
    <mergeCell ref="A3:F3"/>
    <mergeCell ref="A14:F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pane ySplit="4" topLeftCell="A5" activePane="bottomLeft" state="frozen"/>
      <selection pane="bottomLeft" activeCell="B6" sqref="B6"/>
    </sheetView>
  </sheetViews>
  <sheetFormatPr defaultColWidth="14.44140625" defaultRowHeight="14.4" x14ac:dyDescent="0.3"/>
  <cols>
    <col min="1" max="1" width="11" customWidth="1"/>
    <col min="2" max="2" width="14" customWidth="1"/>
    <col min="3" max="3" width="52" customWidth="1"/>
    <col min="4" max="4" width="26" customWidth="1"/>
    <col min="5" max="5" width="13" customWidth="1"/>
    <col min="6" max="6" width="46" customWidth="1"/>
  </cols>
  <sheetData>
    <row r="1" spans="1:26" ht="17.399999999999999" x14ac:dyDescent="0.3">
      <c r="A1" s="14" t="s">
        <v>305</v>
      </c>
      <c r="B1" s="14"/>
      <c r="C1" s="14"/>
      <c r="D1" s="14"/>
      <c r="E1" s="14"/>
      <c r="F1" s="14"/>
      <c r="G1" s="19"/>
      <c r="H1" s="19"/>
      <c r="I1" s="19"/>
      <c r="J1" s="19"/>
      <c r="K1" s="19"/>
      <c r="L1" s="19"/>
      <c r="M1" s="19"/>
      <c r="N1" s="19"/>
      <c r="O1" s="19"/>
      <c r="P1" s="19"/>
      <c r="Q1" s="19"/>
      <c r="R1" s="19"/>
      <c r="S1" s="19"/>
      <c r="T1" s="19"/>
      <c r="U1" s="19"/>
      <c r="V1" s="19"/>
      <c r="W1" s="19"/>
      <c r="X1" s="19"/>
      <c r="Y1" s="19"/>
      <c r="Z1" s="19"/>
    </row>
    <row r="2" spans="1:26" x14ac:dyDescent="0.3">
      <c r="A2" s="12" t="s">
        <v>306</v>
      </c>
      <c r="B2" s="12"/>
      <c r="C2" s="12"/>
      <c r="D2" s="12"/>
      <c r="E2" s="12"/>
      <c r="F2" s="12"/>
      <c r="G2" s="19"/>
      <c r="H2" s="19"/>
      <c r="I2" s="19"/>
      <c r="J2" s="19"/>
      <c r="K2" s="19"/>
      <c r="L2" s="19"/>
      <c r="M2" s="19"/>
      <c r="N2" s="19"/>
      <c r="O2" s="19"/>
      <c r="P2" s="19"/>
      <c r="Q2" s="19"/>
      <c r="R2" s="19"/>
      <c r="S2" s="19"/>
      <c r="T2" s="19"/>
      <c r="U2" s="19"/>
      <c r="V2" s="19"/>
      <c r="W2" s="19"/>
      <c r="X2" s="19"/>
      <c r="Y2" s="19"/>
      <c r="Z2" s="19"/>
    </row>
    <row r="3" spans="1:26" ht="27.75" customHeight="1" x14ac:dyDescent="0.3">
      <c r="A3" s="9" t="s">
        <v>307</v>
      </c>
      <c r="B3" s="9"/>
      <c r="C3" s="9"/>
      <c r="D3" s="9"/>
      <c r="E3" s="9"/>
      <c r="F3" s="9"/>
      <c r="G3" s="19"/>
      <c r="H3" s="19"/>
      <c r="I3" s="19"/>
      <c r="J3" s="19"/>
      <c r="K3" s="19"/>
      <c r="L3" s="19"/>
      <c r="M3" s="19"/>
      <c r="N3" s="19"/>
      <c r="O3" s="19"/>
      <c r="P3" s="19"/>
      <c r="Q3" s="19"/>
      <c r="R3" s="19"/>
      <c r="S3" s="19"/>
      <c r="T3" s="19"/>
      <c r="U3" s="19"/>
      <c r="V3" s="19"/>
      <c r="W3" s="19"/>
      <c r="X3" s="19"/>
      <c r="Y3" s="19"/>
      <c r="Z3" s="19"/>
    </row>
    <row r="4" spans="1:26" x14ac:dyDescent="0.3">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3">
      <c r="A5" s="27" t="s">
        <v>173</v>
      </c>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x14ac:dyDescent="0.3">
      <c r="A6" s="37" t="s">
        <v>174</v>
      </c>
      <c r="B6" s="8" t="s">
        <v>24</v>
      </c>
      <c r="C6" s="8"/>
      <c r="D6" s="16" t="s">
        <v>29</v>
      </c>
      <c r="E6" s="16" t="s">
        <v>26</v>
      </c>
      <c r="F6" s="16" t="s">
        <v>175</v>
      </c>
      <c r="G6" s="19"/>
      <c r="H6" s="19"/>
      <c r="I6" s="19"/>
      <c r="J6" s="19"/>
      <c r="K6" s="19"/>
      <c r="L6" s="19"/>
      <c r="M6" s="19"/>
      <c r="N6" s="19"/>
      <c r="O6" s="19"/>
      <c r="P6" s="19"/>
      <c r="Q6" s="19"/>
      <c r="R6" s="19"/>
      <c r="S6" s="19"/>
      <c r="T6" s="19"/>
      <c r="U6" s="19"/>
      <c r="V6" s="19"/>
      <c r="W6" s="19"/>
      <c r="X6" s="19"/>
      <c r="Y6" s="19"/>
      <c r="Z6" s="19"/>
    </row>
    <row r="7" spans="1:26" ht="90" customHeight="1" x14ac:dyDescent="0.3">
      <c r="A7" s="38" t="s">
        <v>308</v>
      </c>
      <c r="B7" s="7" t="s">
        <v>309</v>
      </c>
      <c r="C7" s="7"/>
      <c r="D7" s="17" t="s">
        <v>6</v>
      </c>
      <c r="E7" s="17">
        <v>8</v>
      </c>
      <c r="F7" s="38" t="s">
        <v>310</v>
      </c>
      <c r="G7" s="19"/>
      <c r="H7" s="19"/>
      <c r="I7" s="19"/>
      <c r="J7" s="19"/>
      <c r="K7" s="19"/>
      <c r="L7" s="19"/>
      <c r="M7" s="19"/>
      <c r="N7" s="19"/>
      <c r="O7" s="19"/>
      <c r="P7" s="19"/>
      <c r="Q7" s="19"/>
      <c r="R7" s="19"/>
      <c r="S7" s="19"/>
      <c r="T7" s="19"/>
      <c r="U7" s="19"/>
      <c r="V7" s="19"/>
      <c r="W7" s="19"/>
      <c r="X7" s="19"/>
      <c r="Y7" s="19"/>
      <c r="Z7" s="19"/>
    </row>
    <row r="8" spans="1:26" ht="61.5" customHeight="1" x14ac:dyDescent="0.3">
      <c r="A8" s="17" t="s">
        <v>311</v>
      </c>
      <c r="B8" s="7" t="s">
        <v>312</v>
      </c>
      <c r="C8" s="7"/>
      <c r="D8" s="17" t="s">
        <v>6</v>
      </c>
      <c r="E8" s="17">
        <v>5</v>
      </c>
      <c r="F8" s="17" t="s">
        <v>313</v>
      </c>
      <c r="G8" s="19"/>
      <c r="H8" s="19"/>
      <c r="I8" s="19"/>
      <c r="J8" s="19"/>
      <c r="K8" s="19"/>
      <c r="L8" s="19"/>
      <c r="M8" s="19"/>
      <c r="N8" s="19"/>
      <c r="O8" s="19"/>
      <c r="P8" s="19"/>
      <c r="Q8" s="19"/>
      <c r="R8" s="19"/>
      <c r="S8" s="19"/>
      <c r="T8" s="19"/>
      <c r="U8" s="19"/>
      <c r="V8" s="19"/>
      <c r="W8" s="19"/>
      <c r="X8" s="19"/>
      <c r="Y8" s="19"/>
      <c r="Z8" s="19"/>
    </row>
    <row r="9" spans="1:26" ht="61.5" customHeight="1" x14ac:dyDescent="0.3">
      <c r="A9" s="17" t="s">
        <v>314</v>
      </c>
      <c r="B9" s="7" t="s">
        <v>315</v>
      </c>
      <c r="C9" s="7"/>
      <c r="D9" s="17" t="s">
        <v>6</v>
      </c>
      <c r="E9" s="17">
        <v>3</v>
      </c>
      <c r="F9" s="17" t="s">
        <v>316</v>
      </c>
      <c r="G9" s="19"/>
      <c r="H9" s="19"/>
      <c r="I9" s="19"/>
      <c r="J9" s="19"/>
      <c r="K9" s="19"/>
      <c r="L9" s="19"/>
      <c r="M9" s="19"/>
      <c r="N9" s="19"/>
      <c r="O9" s="19"/>
      <c r="P9" s="19"/>
      <c r="Q9" s="19"/>
      <c r="R9" s="19"/>
      <c r="S9" s="19"/>
      <c r="T9" s="19"/>
      <c r="U9" s="19"/>
      <c r="V9" s="19"/>
      <c r="W9" s="19"/>
      <c r="X9" s="19"/>
      <c r="Y9" s="19"/>
      <c r="Z9" s="19"/>
    </row>
    <row r="10" spans="1:26" ht="61.5" customHeight="1" x14ac:dyDescent="0.3">
      <c r="A10" s="17" t="s">
        <v>317</v>
      </c>
      <c r="B10" s="7" t="s">
        <v>318</v>
      </c>
      <c r="C10" s="7"/>
      <c r="D10" s="17" t="s">
        <v>6</v>
      </c>
      <c r="E10" s="17">
        <v>3</v>
      </c>
      <c r="F10" s="17" t="s">
        <v>319</v>
      </c>
      <c r="G10" s="19"/>
      <c r="H10" s="19"/>
      <c r="I10" s="19"/>
      <c r="J10" s="19"/>
      <c r="K10" s="19"/>
      <c r="L10" s="19"/>
      <c r="M10" s="19"/>
      <c r="N10" s="19"/>
      <c r="O10" s="19"/>
      <c r="P10" s="19"/>
      <c r="Q10" s="19"/>
      <c r="R10" s="19"/>
      <c r="S10" s="19"/>
      <c r="T10" s="19"/>
      <c r="U10" s="19"/>
      <c r="V10" s="19"/>
      <c r="W10" s="19"/>
      <c r="X10" s="19"/>
      <c r="Y10" s="19"/>
      <c r="Z10" s="19"/>
    </row>
    <row r="11" spans="1:26" ht="75.75" customHeight="1" x14ac:dyDescent="0.3">
      <c r="A11" s="17" t="s">
        <v>320</v>
      </c>
      <c r="B11" s="7" t="s">
        <v>321</v>
      </c>
      <c r="C11" s="7"/>
      <c r="D11" s="17" t="s">
        <v>6</v>
      </c>
      <c r="E11" s="17">
        <v>5</v>
      </c>
      <c r="F11" s="17" t="s">
        <v>322</v>
      </c>
      <c r="G11" s="19"/>
      <c r="H11" s="19"/>
      <c r="I11" s="19"/>
      <c r="J11" s="19"/>
      <c r="K11" s="19"/>
      <c r="L11" s="19"/>
      <c r="M11" s="19"/>
      <c r="N11" s="19"/>
      <c r="O11" s="19"/>
      <c r="P11" s="19"/>
      <c r="Q11" s="19"/>
      <c r="R11" s="19"/>
      <c r="S11" s="19"/>
      <c r="T11" s="19"/>
      <c r="U11" s="19"/>
      <c r="V11" s="19"/>
      <c r="W11" s="19"/>
      <c r="X11" s="19"/>
      <c r="Y11" s="19"/>
      <c r="Z11" s="19"/>
    </row>
    <row r="12" spans="1:26" ht="75.75" customHeight="1" x14ac:dyDescent="0.3">
      <c r="A12" s="17" t="s">
        <v>323</v>
      </c>
      <c r="B12" s="7" t="s">
        <v>324</v>
      </c>
      <c r="C12" s="7"/>
      <c r="D12" s="17" t="s">
        <v>12</v>
      </c>
      <c r="E12" s="17">
        <v>8</v>
      </c>
      <c r="F12" s="17" t="s">
        <v>325</v>
      </c>
      <c r="G12" s="19"/>
      <c r="H12" s="19"/>
      <c r="I12" s="19"/>
      <c r="J12" s="19"/>
      <c r="K12" s="19"/>
      <c r="L12" s="19"/>
      <c r="M12" s="19"/>
      <c r="N12" s="19"/>
      <c r="O12" s="19"/>
      <c r="P12" s="19"/>
      <c r="Q12" s="19"/>
      <c r="R12" s="19"/>
      <c r="S12" s="19"/>
      <c r="T12" s="19"/>
      <c r="U12" s="19"/>
      <c r="V12" s="19"/>
      <c r="W12" s="19"/>
      <c r="X12" s="19"/>
      <c r="Y12" s="19"/>
      <c r="Z12" s="19"/>
    </row>
    <row r="13" spans="1:26" ht="60" customHeight="1" x14ac:dyDescent="0.3">
      <c r="A13" s="17" t="s">
        <v>326</v>
      </c>
      <c r="B13" s="7" t="s">
        <v>327</v>
      </c>
      <c r="C13" s="7"/>
      <c r="D13" s="17" t="s">
        <v>18</v>
      </c>
      <c r="E13" s="17">
        <v>3</v>
      </c>
      <c r="F13" s="17" t="s">
        <v>328</v>
      </c>
      <c r="G13" s="19"/>
      <c r="H13" s="19"/>
      <c r="I13" s="19"/>
      <c r="J13" s="19"/>
      <c r="K13" s="19"/>
      <c r="L13" s="19"/>
      <c r="M13" s="19"/>
      <c r="N13" s="19"/>
      <c r="O13" s="19"/>
      <c r="P13" s="19"/>
      <c r="Q13" s="19"/>
      <c r="R13" s="19"/>
      <c r="S13" s="19"/>
      <c r="T13" s="19"/>
      <c r="U13" s="19"/>
      <c r="V13" s="19"/>
      <c r="W13" s="19"/>
      <c r="X13" s="19"/>
      <c r="Y13" s="19"/>
      <c r="Z13" s="19"/>
    </row>
    <row r="14" spans="1:26" ht="61.5" customHeight="1" x14ac:dyDescent="0.3">
      <c r="A14" s="17" t="s">
        <v>329</v>
      </c>
      <c r="B14" s="7" t="s">
        <v>330</v>
      </c>
      <c r="C14" s="7"/>
      <c r="D14" s="17" t="s">
        <v>9</v>
      </c>
      <c r="E14" s="17">
        <v>3</v>
      </c>
      <c r="F14" s="17" t="s">
        <v>331</v>
      </c>
      <c r="G14" s="19"/>
      <c r="H14" s="19"/>
      <c r="I14" s="19"/>
      <c r="J14" s="19"/>
      <c r="K14" s="19"/>
      <c r="L14" s="19"/>
      <c r="M14" s="19"/>
      <c r="N14" s="19"/>
      <c r="O14" s="19"/>
      <c r="P14" s="19"/>
      <c r="Q14" s="19"/>
      <c r="R14" s="19"/>
      <c r="S14" s="19"/>
      <c r="T14" s="19"/>
      <c r="U14" s="19"/>
      <c r="V14" s="19"/>
      <c r="W14" s="19"/>
      <c r="X14" s="19"/>
      <c r="Y14" s="19"/>
      <c r="Z14" s="19"/>
    </row>
    <row r="15" spans="1:26" ht="61.5" customHeight="1" x14ac:dyDescent="0.3">
      <c r="A15" s="17" t="s">
        <v>332</v>
      </c>
      <c r="B15" s="7" t="s">
        <v>333</v>
      </c>
      <c r="C15" s="7"/>
      <c r="D15" s="17" t="s">
        <v>15</v>
      </c>
      <c r="E15" s="17">
        <v>3</v>
      </c>
      <c r="F15" s="17" t="s">
        <v>334</v>
      </c>
      <c r="G15" s="19"/>
      <c r="H15" s="19"/>
      <c r="I15" s="19"/>
      <c r="J15" s="19"/>
      <c r="K15" s="19"/>
      <c r="L15" s="19"/>
      <c r="M15" s="19"/>
      <c r="N15" s="19"/>
      <c r="O15" s="19"/>
      <c r="P15" s="19"/>
      <c r="Q15" s="19"/>
      <c r="R15" s="19"/>
      <c r="S15" s="19"/>
      <c r="T15" s="19"/>
      <c r="U15" s="19"/>
      <c r="V15" s="19"/>
      <c r="W15" s="19"/>
      <c r="X15" s="19"/>
      <c r="Y15" s="19"/>
      <c r="Z15" s="19"/>
    </row>
    <row r="16" spans="1:26"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x14ac:dyDescent="0.3">
      <c r="A17" s="27" t="s">
        <v>335</v>
      </c>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26.4" x14ac:dyDescent="0.3">
      <c r="A18" s="16" t="s">
        <v>174</v>
      </c>
      <c r="B18" s="16" t="s">
        <v>189</v>
      </c>
      <c r="C18" s="16" t="s">
        <v>190</v>
      </c>
      <c r="D18" s="16" t="s">
        <v>29</v>
      </c>
      <c r="E18" s="16" t="s">
        <v>191</v>
      </c>
      <c r="F18" s="16" t="s">
        <v>27</v>
      </c>
      <c r="G18" s="19"/>
      <c r="H18" s="19"/>
      <c r="I18" s="19"/>
      <c r="J18" s="19"/>
      <c r="K18" s="19"/>
      <c r="L18" s="19"/>
      <c r="M18" s="19"/>
      <c r="N18" s="19"/>
      <c r="O18" s="19"/>
      <c r="P18" s="19"/>
      <c r="Q18" s="19"/>
      <c r="R18" s="19"/>
      <c r="S18" s="19"/>
      <c r="T18" s="19"/>
      <c r="U18" s="19"/>
      <c r="V18" s="19"/>
      <c r="W18" s="19"/>
      <c r="X18" s="19"/>
      <c r="Y18" s="19"/>
      <c r="Z18" s="19"/>
    </row>
    <row r="19" spans="1:26" ht="30" customHeight="1" x14ac:dyDescent="0.3">
      <c r="A19" s="17" t="s">
        <v>264</v>
      </c>
      <c r="B19" s="28" t="s">
        <v>192</v>
      </c>
      <c r="C19" s="17" t="s">
        <v>282</v>
      </c>
      <c r="D19" s="17" t="s">
        <v>6</v>
      </c>
      <c r="E19" s="17">
        <v>2</v>
      </c>
      <c r="F19" s="21" t="s">
        <v>336</v>
      </c>
      <c r="G19" s="19"/>
      <c r="H19" s="19"/>
      <c r="I19" s="19"/>
      <c r="J19" s="19"/>
      <c r="K19" s="19"/>
      <c r="L19" s="19"/>
      <c r="M19" s="19"/>
      <c r="N19" s="19"/>
      <c r="O19" s="19"/>
      <c r="P19" s="19"/>
      <c r="Q19" s="19"/>
      <c r="R19" s="19"/>
      <c r="S19" s="19"/>
      <c r="T19" s="19"/>
      <c r="U19" s="19"/>
      <c r="V19" s="19"/>
      <c r="W19" s="19"/>
      <c r="X19" s="19"/>
      <c r="Y19" s="19"/>
      <c r="Z19" s="19"/>
    </row>
    <row r="20" spans="1:26" ht="30" customHeight="1" x14ac:dyDescent="0.3">
      <c r="A20" s="17" t="s">
        <v>264</v>
      </c>
      <c r="B20" s="30" t="s">
        <v>196</v>
      </c>
      <c r="C20" s="17" t="s">
        <v>337</v>
      </c>
      <c r="D20" s="17" t="s">
        <v>6</v>
      </c>
      <c r="E20" s="17">
        <v>5</v>
      </c>
      <c r="F20" s="21" t="s">
        <v>336</v>
      </c>
      <c r="G20" s="19"/>
      <c r="H20" s="19"/>
      <c r="I20" s="19"/>
      <c r="J20" s="19"/>
      <c r="K20" s="19"/>
      <c r="L20" s="19"/>
      <c r="M20" s="19"/>
      <c r="N20" s="19"/>
      <c r="O20" s="19"/>
      <c r="P20" s="19"/>
      <c r="Q20" s="19"/>
      <c r="R20" s="19"/>
      <c r="S20" s="19"/>
      <c r="T20" s="19"/>
      <c r="U20" s="19"/>
      <c r="V20" s="19"/>
      <c r="W20" s="19"/>
      <c r="X20" s="19"/>
      <c r="Y20" s="19"/>
      <c r="Z20" s="19"/>
    </row>
    <row r="21" spans="1:26" ht="30" customHeight="1" x14ac:dyDescent="0.3">
      <c r="A21" s="17" t="s">
        <v>264</v>
      </c>
      <c r="B21" s="31" t="s">
        <v>198</v>
      </c>
      <c r="C21" s="17" t="s">
        <v>285</v>
      </c>
      <c r="D21" s="17" t="s">
        <v>6</v>
      </c>
      <c r="E21" s="17">
        <v>3</v>
      </c>
      <c r="F21" s="21" t="s">
        <v>336</v>
      </c>
      <c r="G21" s="19"/>
      <c r="H21" s="19"/>
      <c r="I21" s="19"/>
      <c r="J21" s="19"/>
      <c r="K21" s="19"/>
      <c r="L21" s="19"/>
      <c r="M21" s="19"/>
      <c r="N21" s="19"/>
      <c r="O21" s="19"/>
      <c r="P21" s="19"/>
      <c r="Q21" s="19"/>
      <c r="R21" s="19"/>
      <c r="S21" s="19"/>
      <c r="T21" s="19"/>
      <c r="U21" s="19"/>
      <c r="V21" s="19"/>
      <c r="W21" s="19"/>
      <c r="X21" s="19"/>
      <c r="Y21" s="19"/>
      <c r="Z21" s="19"/>
    </row>
    <row r="22" spans="1:26" ht="30" customHeight="1" x14ac:dyDescent="0.3">
      <c r="A22" s="17" t="s">
        <v>264</v>
      </c>
      <c r="B22" s="32" t="s">
        <v>200</v>
      </c>
      <c r="C22" s="17" t="s">
        <v>338</v>
      </c>
      <c r="D22" s="17" t="s">
        <v>6</v>
      </c>
      <c r="E22" s="17">
        <v>1</v>
      </c>
      <c r="F22" s="21" t="s">
        <v>336</v>
      </c>
      <c r="G22" s="19"/>
      <c r="H22" s="19"/>
      <c r="I22" s="19"/>
      <c r="J22" s="19"/>
      <c r="K22" s="19"/>
      <c r="L22" s="19"/>
      <c r="M22" s="19"/>
      <c r="N22" s="19"/>
      <c r="O22" s="19"/>
      <c r="P22" s="19"/>
      <c r="Q22" s="19"/>
      <c r="R22" s="19"/>
      <c r="S22" s="19"/>
      <c r="T22" s="19"/>
      <c r="U22" s="19"/>
      <c r="V22" s="19"/>
      <c r="W22" s="19"/>
      <c r="X22" s="19"/>
      <c r="Y22" s="19"/>
      <c r="Z22" s="19"/>
    </row>
    <row r="23" spans="1:26" ht="15.7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x14ac:dyDescent="0.3">
      <c r="A24" s="27" t="s">
        <v>188</v>
      </c>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6" t="s">
        <v>174</v>
      </c>
      <c r="B25" s="16" t="s">
        <v>189</v>
      </c>
      <c r="C25" s="16" t="s">
        <v>190</v>
      </c>
      <c r="D25" s="16" t="s">
        <v>29</v>
      </c>
      <c r="E25" s="16" t="s">
        <v>191</v>
      </c>
      <c r="F25" s="16" t="s">
        <v>27</v>
      </c>
      <c r="G25" s="19"/>
      <c r="H25" s="19"/>
      <c r="I25" s="19"/>
      <c r="J25" s="19"/>
      <c r="K25" s="19"/>
      <c r="L25" s="19"/>
      <c r="M25" s="19"/>
      <c r="N25" s="19"/>
      <c r="O25" s="19"/>
      <c r="P25" s="19"/>
      <c r="Q25" s="19"/>
      <c r="R25" s="19"/>
      <c r="S25" s="19"/>
      <c r="T25" s="19"/>
      <c r="U25" s="19"/>
      <c r="V25" s="19"/>
      <c r="W25" s="19"/>
      <c r="X25" s="19"/>
      <c r="Y25" s="19"/>
      <c r="Z25" s="19"/>
    </row>
    <row r="26" spans="1:26" ht="30" customHeight="1" x14ac:dyDescent="0.3">
      <c r="A26" s="17" t="s">
        <v>308</v>
      </c>
      <c r="B26" s="28" t="s">
        <v>192</v>
      </c>
      <c r="C26" s="17" t="s">
        <v>339</v>
      </c>
      <c r="D26" s="17" t="s">
        <v>6</v>
      </c>
      <c r="E26" s="17">
        <v>2</v>
      </c>
      <c r="F26" s="21" t="s">
        <v>34</v>
      </c>
      <c r="G26" s="19"/>
      <c r="H26" s="19"/>
      <c r="I26" s="19"/>
      <c r="J26" s="19"/>
      <c r="K26" s="19"/>
      <c r="L26" s="19"/>
      <c r="M26" s="19"/>
      <c r="N26" s="19"/>
      <c r="O26" s="19"/>
      <c r="P26" s="19"/>
      <c r="Q26" s="19"/>
      <c r="R26" s="19"/>
      <c r="S26" s="19"/>
      <c r="T26" s="19"/>
      <c r="U26" s="19"/>
      <c r="V26" s="19"/>
      <c r="W26" s="19"/>
      <c r="X26" s="19"/>
      <c r="Y26" s="19"/>
      <c r="Z26" s="19"/>
    </row>
    <row r="27" spans="1:26" ht="30" customHeight="1" x14ac:dyDescent="0.3">
      <c r="A27" s="17" t="s">
        <v>308</v>
      </c>
      <c r="B27" s="29" t="s">
        <v>194</v>
      </c>
      <c r="C27" s="17" t="s">
        <v>340</v>
      </c>
      <c r="D27" s="17" t="s">
        <v>6</v>
      </c>
      <c r="E27" s="17">
        <v>2</v>
      </c>
      <c r="F27" s="21" t="s">
        <v>34</v>
      </c>
      <c r="G27" s="19"/>
      <c r="H27" s="19"/>
      <c r="I27" s="19"/>
      <c r="J27" s="19"/>
      <c r="K27" s="19"/>
      <c r="L27" s="19"/>
      <c r="M27" s="19"/>
      <c r="N27" s="19"/>
      <c r="O27" s="19"/>
      <c r="P27" s="19"/>
      <c r="Q27" s="19"/>
      <c r="R27" s="19"/>
      <c r="S27" s="19"/>
      <c r="T27" s="19"/>
      <c r="U27" s="19"/>
      <c r="V27" s="19"/>
      <c r="W27" s="19"/>
      <c r="X27" s="19"/>
      <c r="Y27" s="19"/>
      <c r="Z27" s="19"/>
    </row>
    <row r="28" spans="1:26" ht="30" customHeight="1" x14ac:dyDescent="0.3">
      <c r="A28" s="17" t="s">
        <v>308</v>
      </c>
      <c r="B28" s="30" t="s">
        <v>196</v>
      </c>
      <c r="C28" s="17" t="s">
        <v>341</v>
      </c>
      <c r="D28" s="17" t="s">
        <v>6</v>
      </c>
      <c r="E28" s="17">
        <v>4</v>
      </c>
      <c r="F28" s="21" t="s">
        <v>34</v>
      </c>
      <c r="G28" s="19"/>
      <c r="H28" s="19"/>
      <c r="I28" s="19"/>
      <c r="J28" s="19"/>
      <c r="K28" s="19"/>
      <c r="L28" s="19"/>
      <c r="M28" s="19"/>
      <c r="N28" s="19"/>
      <c r="O28" s="19"/>
      <c r="P28" s="19"/>
      <c r="Q28" s="19"/>
      <c r="R28" s="19"/>
      <c r="S28" s="19"/>
      <c r="T28" s="19"/>
      <c r="U28" s="19"/>
      <c r="V28" s="19"/>
      <c r="W28" s="19"/>
      <c r="X28" s="19"/>
      <c r="Y28" s="19"/>
      <c r="Z28" s="19"/>
    </row>
    <row r="29" spans="1:26" ht="30" customHeight="1" x14ac:dyDescent="0.3">
      <c r="A29" s="17" t="s">
        <v>308</v>
      </c>
      <c r="B29" s="30" t="s">
        <v>196</v>
      </c>
      <c r="C29" s="17" t="s">
        <v>342</v>
      </c>
      <c r="D29" s="17" t="s">
        <v>6</v>
      </c>
      <c r="E29" s="17">
        <v>4</v>
      </c>
      <c r="F29" s="21" t="s">
        <v>34</v>
      </c>
      <c r="G29" s="19"/>
      <c r="H29" s="19"/>
      <c r="I29" s="19"/>
      <c r="J29" s="19"/>
      <c r="K29" s="19"/>
      <c r="L29" s="19"/>
      <c r="M29" s="19"/>
      <c r="N29" s="19"/>
      <c r="O29" s="19"/>
      <c r="P29" s="19"/>
      <c r="Q29" s="19"/>
      <c r="R29" s="19"/>
      <c r="S29" s="19"/>
      <c r="T29" s="19"/>
      <c r="U29" s="19"/>
      <c r="V29" s="19"/>
      <c r="W29" s="19"/>
      <c r="X29" s="19"/>
      <c r="Y29" s="19"/>
      <c r="Z29" s="19"/>
    </row>
    <row r="30" spans="1:26" ht="30" customHeight="1" x14ac:dyDescent="0.3">
      <c r="A30" s="17" t="s">
        <v>308</v>
      </c>
      <c r="B30" s="30" t="s">
        <v>196</v>
      </c>
      <c r="C30" s="17" t="s">
        <v>343</v>
      </c>
      <c r="D30" s="17" t="s">
        <v>6</v>
      </c>
      <c r="E30" s="17">
        <v>2</v>
      </c>
      <c r="F30" s="21" t="s">
        <v>34</v>
      </c>
      <c r="G30" s="19"/>
      <c r="H30" s="19"/>
      <c r="I30" s="19"/>
      <c r="J30" s="19"/>
      <c r="K30" s="19"/>
      <c r="L30" s="19"/>
      <c r="M30" s="19"/>
      <c r="N30" s="19"/>
      <c r="O30" s="19"/>
      <c r="P30" s="19"/>
      <c r="Q30" s="19"/>
      <c r="R30" s="19"/>
      <c r="S30" s="19"/>
      <c r="T30" s="19"/>
      <c r="U30" s="19"/>
      <c r="V30" s="19"/>
      <c r="W30" s="19"/>
      <c r="X30" s="19"/>
      <c r="Y30" s="19"/>
      <c r="Z30" s="19"/>
    </row>
    <row r="31" spans="1:26" ht="30" customHeight="1" x14ac:dyDescent="0.3">
      <c r="A31" s="17" t="s">
        <v>308</v>
      </c>
      <c r="B31" s="31" t="s">
        <v>198</v>
      </c>
      <c r="C31" s="17" t="s">
        <v>344</v>
      </c>
      <c r="D31" s="17" t="s">
        <v>6</v>
      </c>
      <c r="E31" s="17">
        <v>3</v>
      </c>
      <c r="F31" s="21" t="s">
        <v>34</v>
      </c>
      <c r="G31" s="19"/>
      <c r="H31" s="19"/>
      <c r="I31" s="19"/>
      <c r="J31" s="19"/>
      <c r="K31" s="19"/>
      <c r="L31" s="19"/>
      <c r="M31" s="19"/>
      <c r="N31" s="19"/>
      <c r="O31" s="19"/>
      <c r="P31" s="19"/>
      <c r="Q31" s="19"/>
      <c r="R31" s="19"/>
      <c r="S31" s="19"/>
      <c r="T31" s="19"/>
      <c r="U31" s="19"/>
      <c r="V31" s="19"/>
      <c r="W31" s="19"/>
      <c r="X31" s="19"/>
      <c r="Y31" s="19"/>
      <c r="Z31" s="19"/>
    </row>
    <row r="32" spans="1:26" ht="30" customHeight="1" x14ac:dyDescent="0.3">
      <c r="A32" s="17" t="s">
        <v>308</v>
      </c>
      <c r="B32" s="31" t="s">
        <v>198</v>
      </c>
      <c r="C32" s="17" t="s">
        <v>345</v>
      </c>
      <c r="D32" s="17" t="s">
        <v>6</v>
      </c>
      <c r="E32" s="17">
        <v>5</v>
      </c>
      <c r="F32" s="21" t="s">
        <v>34</v>
      </c>
      <c r="G32" s="19"/>
      <c r="H32" s="19"/>
      <c r="I32" s="19"/>
      <c r="J32" s="19"/>
      <c r="K32" s="19"/>
      <c r="L32" s="19"/>
      <c r="M32" s="19"/>
      <c r="N32" s="19"/>
      <c r="O32" s="19"/>
      <c r="P32" s="19"/>
      <c r="Q32" s="19"/>
      <c r="R32" s="19"/>
      <c r="S32" s="19"/>
      <c r="T32" s="19"/>
      <c r="U32" s="19"/>
      <c r="V32" s="19"/>
      <c r="W32" s="19"/>
      <c r="X32" s="19"/>
      <c r="Y32" s="19"/>
      <c r="Z32" s="19"/>
    </row>
    <row r="33" spans="1:26" ht="30" customHeight="1" x14ac:dyDescent="0.3">
      <c r="A33" s="17" t="s">
        <v>308</v>
      </c>
      <c r="B33" s="32" t="s">
        <v>200</v>
      </c>
      <c r="C33" s="17" t="s">
        <v>346</v>
      </c>
      <c r="D33" s="17" t="s">
        <v>6</v>
      </c>
      <c r="E33" s="17">
        <v>2</v>
      </c>
      <c r="F33" s="21" t="s">
        <v>34</v>
      </c>
      <c r="G33" s="19"/>
      <c r="H33" s="19"/>
      <c r="I33" s="19"/>
      <c r="J33" s="19"/>
      <c r="K33" s="19"/>
      <c r="L33" s="19"/>
      <c r="M33" s="19"/>
      <c r="N33" s="19"/>
      <c r="O33" s="19"/>
      <c r="P33" s="19"/>
      <c r="Q33" s="19"/>
      <c r="R33" s="19"/>
      <c r="S33" s="19"/>
      <c r="T33" s="19"/>
      <c r="U33" s="19"/>
      <c r="V33" s="19"/>
      <c r="W33" s="19"/>
      <c r="X33" s="19"/>
      <c r="Y33" s="19"/>
      <c r="Z33" s="19"/>
    </row>
    <row r="34" spans="1:26" ht="30" customHeight="1" x14ac:dyDescent="0.3">
      <c r="A34" s="17" t="s">
        <v>311</v>
      </c>
      <c r="B34" s="28" t="s">
        <v>192</v>
      </c>
      <c r="C34" s="17" t="s">
        <v>347</v>
      </c>
      <c r="D34" s="17" t="s">
        <v>6</v>
      </c>
      <c r="E34" s="17">
        <v>2</v>
      </c>
      <c r="F34" s="21" t="s">
        <v>34</v>
      </c>
      <c r="G34" s="19"/>
      <c r="H34" s="19"/>
      <c r="I34" s="19"/>
      <c r="J34" s="19"/>
      <c r="K34" s="19"/>
      <c r="L34" s="19"/>
      <c r="M34" s="19"/>
      <c r="N34" s="19"/>
      <c r="O34" s="19"/>
      <c r="P34" s="19"/>
      <c r="Q34" s="19"/>
      <c r="R34" s="19"/>
      <c r="S34" s="19"/>
      <c r="T34" s="19"/>
      <c r="U34" s="19"/>
      <c r="V34" s="19"/>
      <c r="W34" s="19"/>
      <c r="X34" s="19"/>
      <c r="Y34" s="19"/>
      <c r="Z34" s="19"/>
    </row>
    <row r="35" spans="1:26" ht="30" customHeight="1" x14ac:dyDescent="0.3">
      <c r="A35" s="17" t="s">
        <v>311</v>
      </c>
      <c r="B35" s="29" t="s">
        <v>194</v>
      </c>
      <c r="C35" s="17" t="s">
        <v>348</v>
      </c>
      <c r="D35" s="17" t="s">
        <v>6</v>
      </c>
      <c r="E35" s="17">
        <v>2</v>
      </c>
      <c r="F35" s="21" t="s">
        <v>34</v>
      </c>
      <c r="G35" s="19"/>
      <c r="H35" s="19"/>
      <c r="I35" s="19"/>
      <c r="J35" s="19"/>
      <c r="K35" s="19"/>
      <c r="L35" s="19"/>
      <c r="M35" s="19"/>
      <c r="N35" s="19"/>
      <c r="O35" s="19"/>
      <c r="P35" s="19"/>
      <c r="Q35" s="19"/>
      <c r="R35" s="19"/>
      <c r="S35" s="19"/>
      <c r="T35" s="19"/>
      <c r="U35" s="19"/>
      <c r="V35" s="19"/>
      <c r="W35" s="19"/>
      <c r="X35" s="19"/>
      <c r="Y35" s="19"/>
      <c r="Z35" s="19"/>
    </row>
    <row r="36" spans="1:26" ht="30" customHeight="1" x14ac:dyDescent="0.3">
      <c r="A36" s="17" t="s">
        <v>311</v>
      </c>
      <c r="B36" s="30" t="s">
        <v>196</v>
      </c>
      <c r="C36" s="17" t="s">
        <v>349</v>
      </c>
      <c r="D36" s="17" t="s">
        <v>6</v>
      </c>
      <c r="E36" s="17">
        <v>4</v>
      </c>
      <c r="F36" s="21" t="s">
        <v>34</v>
      </c>
      <c r="G36" s="19"/>
      <c r="H36" s="19"/>
      <c r="I36" s="19"/>
      <c r="J36" s="19"/>
      <c r="K36" s="19"/>
      <c r="L36" s="19"/>
      <c r="M36" s="19"/>
      <c r="N36" s="19"/>
      <c r="O36" s="19"/>
      <c r="P36" s="19"/>
      <c r="Q36" s="19"/>
      <c r="R36" s="19"/>
      <c r="S36" s="19"/>
      <c r="T36" s="19"/>
      <c r="U36" s="19"/>
      <c r="V36" s="19"/>
      <c r="W36" s="19"/>
      <c r="X36" s="19"/>
      <c r="Y36" s="19"/>
      <c r="Z36" s="19"/>
    </row>
    <row r="37" spans="1:26" ht="30" customHeight="1" x14ac:dyDescent="0.3">
      <c r="A37" s="17" t="s">
        <v>311</v>
      </c>
      <c r="B37" s="31" t="s">
        <v>198</v>
      </c>
      <c r="C37" s="17" t="s">
        <v>350</v>
      </c>
      <c r="D37" s="17" t="s">
        <v>6</v>
      </c>
      <c r="E37" s="17">
        <v>4</v>
      </c>
      <c r="F37" s="21" t="s">
        <v>34</v>
      </c>
      <c r="G37" s="19"/>
      <c r="H37" s="19"/>
      <c r="I37" s="19"/>
      <c r="J37" s="19"/>
      <c r="K37" s="19"/>
      <c r="L37" s="19"/>
      <c r="M37" s="19"/>
      <c r="N37" s="19"/>
      <c r="O37" s="19"/>
      <c r="P37" s="19"/>
      <c r="Q37" s="19"/>
      <c r="R37" s="19"/>
      <c r="S37" s="19"/>
      <c r="T37" s="19"/>
      <c r="U37" s="19"/>
      <c r="V37" s="19"/>
      <c r="W37" s="19"/>
      <c r="X37" s="19"/>
      <c r="Y37" s="19"/>
      <c r="Z37" s="19"/>
    </row>
    <row r="38" spans="1:26" ht="30" customHeight="1" x14ac:dyDescent="0.3">
      <c r="A38" s="17" t="s">
        <v>311</v>
      </c>
      <c r="B38" s="32" t="s">
        <v>200</v>
      </c>
      <c r="C38" s="17" t="s">
        <v>351</v>
      </c>
      <c r="D38" s="17" t="s">
        <v>6</v>
      </c>
      <c r="E38" s="17">
        <v>1</v>
      </c>
      <c r="F38" s="21" t="s">
        <v>34</v>
      </c>
      <c r="G38" s="19"/>
      <c r="H38" s="19"/>
      <c r="I38" s="19"/>
      <c r="J38" s="19"/>
      <c r="K38" s="19"/>
      <c r="L38" s="19"/>
      <c r="M38" s="19"/>
      <c r="N38" s="19"/>
      <c r="O38" s="19"/>
      <c r="P38" s="19"/>
      <c r="Q38" s="19"/>
      <c r="R38" s="19"/>
      <c r="S38" s="19"/>
      <c r="T38" s="19"/>
      <c r="U38" s="19"/>
      <c r="V38" s="19"/>
      <c r="W38" s="19"/>
      <c r="X38" s="19"/>
      <c r="Y38" s="19"/>
      <c r="Z38" s="19"/>
    </row>
    <row r="39" spans="1:26" ht="30" customHeight="1" x14ac:dyDescent="0.3">
      <c r="A39" s="17" t="s">
        <v>314</v>
      </c>
      <c r="B39" s="28" t="s">
        <v>192</v>
      </c>
      <c r="C39" s="17" t="s">
        <v>352</v>
      </c>
      <c r="D39" s="17" t="s">
        <v>6</v>
      </c>
      <c r="E39" s="17">
        <v>1</v>
      </c>
      <c r="F39" s="21" t="s">
        <v>34</v>
      </c>
      <c r="G39" s="19"/>
      <c r="H39" s="19"/>
      <c r="I39" s="19"/>
      <c r="J39" s="19"/>
      <c r="K39" s="19"/>
      <c r="L39" s="19"/>
      <c r="M39" s="19"/>
      <c r="N39" s="19"/>
      <c r="O39" s="19"/>
      <c r="P39" s="19"/>
      <c r="Q39" s="19"/>
      <c r="R39" s="19"/>
      <c r="S39" s="19"/>
      <c r="T39" s="19"/>
      <c r="U39" s="19"/>
      <c r="V39" s="19"/>
      <c r="W39" s="19"/>
      <c r="X39" s="19"/>
      <c r="Y39" s="19"/>
      <c r="Z39" s="19"/>
    </row>
    <row r="40" spans="1:26" ht="30" customHeight="1" x14ac:dyDescent="0.3">
      <c r="A40" s="17" t="s">
        <v>314</v>
      </c>
      <c r="B40" s="29" t="s">
        <v>194</v>
      </c>
      <c r="C40" s="17" t="s">
        <v>353</v>
      </c>
      <c r="D40" s="17" t="s">
        <v>6</v>
      </c>
      <c r="E40" s="17">
        <v>1</v>
      </c>
      <c r="F40" s="21" t="s">
        <v>34</v>
      </c>
      <c r="G40" s="19"/>
      <c r="H40" s="19"/>
      <c r="I40" s="19"/>
      <c r="J40" s="19"/>
      <c r="K40" s="19"/>
      <c r="L40" s="19"/>
      <c r="M40" s="19"/>
      <c r="N40" s="19"/>
      <c r="O40" s="19"/>
      <c r="P40" s="19"/>
      <c r="Q40" s="19"/>
      <c r="R40" s="19"/>
      <c r="S40" s="19"/>
      <c r="T40" s="19"/>
      <c r="U40" s="19"/>
      <c r="V40" s="19"/>
      <c r="W40" s="19"/>
      <c r="X40" s="19"/>
      <c r="Y40" s="19"/>
      <c r="Z40" s="19"/>
    </row>
    <row r="41" spans="1:26" ht="30" customHeight="1" x14ac:dyDescent="0.3">
      <c r="A41" s="17" t="s">
        <v>314</v>
      </c>
      <c r="B41" s="30" t="s">
        <v>196</v>
      </c>
      <c r="C41" s="17" t="s">
        <v>354</v>
      </c>
      <c r="D41" s="17" t="s">
        <v>6</v>
      </c>
      <c r="E41" s="17">
        <v>3</v>
      </c>
      <c r="F41" s="21" t="s">
        <v>34</v>
      </c>
      <c r="G41" s="19"/>
      <c r="H41" s="19"/>
      <c r="I41" s="19"/>
      <c r="J41" s="19"/>
      <c r="K41" s="19"/>
      <c r="L41" s="19"/>
      <c r="M41" s="19"/>
      <c r="N41" s="19"/>
      <c r="O41" s="19"/>
      <c r="P41" s="19"/>
      <c r="Q41" s="19"/>
      <c r="R41" s="19"/>
      <c r="S41" s="19"/>
      <c r="T41" s="19"/>
      <c r="U41" s="19"/>
      <c r="V41" s="19"/>
      <c r="W41" s="19"/>
      <c r="X41" s="19"/>
      <c r="Y41" s="19"/>
      <c r="Z41" s="19"/>
    </row>
    <row r="42" spans="1:26" ht="30" customHeight="1" x14ac:dyDescent="0.3">
      <c r="A42" s="17" t="s">
        <v>314</v>
      </c>
      <c r="B42" s="31" t="s">
        <v>198</v>
      </c>
      <c r="C42" s="17" t="s">
        <v>355</v>
      </c>
      <c r="D42" s="17" t="s">
        <v>6</v>
      </c>
      <c r="E42" s="17">
        <v>3</v>
      </c>
      <c r="F42" s="21" t="s">
        <v>34</v>
      </c>
      <c r="G42" s="19"/>
      <c r="H42" s="19"/>
      <c r="I42" s="19"/>
      <c r="J42" s="19"/>
      <c r="K42" s="19"/>
      <c r="L42" s="19"/>
      <c r="M42" s="19"/>
      <c r="N42" s="19"/>
      <c r="O42" s="19"/>
      <c r="P42" s="19"/>
      <c r="Q42" s="19"/>
      <c r="R42" s="19"/>
      <c r="S42" s="19"/>
      <c r="T42" s="19"/>
      <c r="U42" s="19"/>
      <c r="V42" s="19"/>
      <c r="W42" s="19"/>
      <c r="X42" s="19"/>
      <c r="Y42" s="19"/>
      <c r="Z42" s="19"/>
    </row>
    <row r="43" spans="1:26" ht="30" customHeight="1" x14ac:dyDescent="0.3">
      <c r="A43" s="17" t="s">
        <v>314</v>
      </c>
      <c r="B43" s="32" t="s">
        <v>200</v>
      </c>
      <c r="C43" s="17" t="s">
        <v>356</v>
      </c>
      <c r="D43" s="17" t="s">
        <v>6</v>
      </c>
      <c r="E43" s="17">
        <v>1</v>
      </c>
      <c r="F43" s="21" t="s">
        <v>34</v>
      </c>
      <c r="G43" s="19"/>
      <c r="H43" s="19"/>
      <c r="I43" s="19"/>
      <c r="J43" s="19"/>
      <c r="K43" s="19"/>
      <c r="L43" s="19"/>
      <c r="M43" s="19"/>
      <c r="N43" s="19"/>
      <c r="O43" s="19"/>
      <c r="P43" s="19"/>
      <c r="Q43" s="19"/>
      <c r="R43" s="19"/>
      <c r="S43" s="19"/>
      <c r="T43" s="19"/>
      <c r="U43" s="19"/>
      <c r="V43" s="19"/>
      <c r="W43" s="19"/>
      <c r="X43" s="19"/>
      <c r="Y43" s="19"/>
      <c r="Z43" s="19"/>
    </row>
    <row r="44" spans="1:26" ht="30" customHeight="1" x14ac:dyDescent="0.3">
      <c r="A44" s="17" t="s">
        <v>317</v>
      </c>
      <c r="B44" s="28" t="s">
        <v>192</v>
      </c>
      <c r="C44" s="17" t="s">
        <v>357</v>
      </c>
      <c r="D44" s="17" t="s">
        <v>6</v>
      </c>
      <c r="E44" s="17">
        <v>1</v>
      </c>
      <c r="F44" s="21" t="s">
        <v>34</v>
      </c>
      <c r="G44" s="19"/>
      <c r="H44" s="19"/>
      <c r="I44" s="19"/>
      <c r="J44" s="19"/>
      <c r="K44" s="19"/>
      <c r="L44" s="19"/>
      <c r="M44" s="19"/>
      <c r="N44" s="19"/>
      <c r="O44" s="19"/>
      <c r="P44" s="19"/>
      <c r="Q44" s="19"/>
      <c r="R44" s="19"/>
      <c r="S44" s="19"/>
      <c r="T44" s="19"/>
      <c r="U44" s="19"/>
      <c r="V44" s="19"/>
      <c r="W44" s="19"/>
      <c r="X44" s="19"/>
      <c r="Y44" s="19"/>
      <c r="Z44" s="19"/>
    </row>
    <row r="45" spans="1:26" ht="30" customHeight="1" x14ac:dyDescent="0.3">
      <c r="A45" s="17" t="s">
        <v>317</v>
      </c>
      <c r="B45" s="31" t="s">
        <v>198</v>
      </c>
      <c r="C45" s="17" t="s">
        <v>358</v>
      </c>
      <c r="D45" s="17" t="s">
        <v>6</v>
      </c>
      <c r="E45" s="17">
        <v>4</v>
      </c>
      <c r="F45" s="21" t="s">
        <v>34</v>
      </c>
      <c r="G45" s="19"/>
      <c r="H45" s="19"/>
      <c r="I45" s="19"/>
      <c r="J45" s="19"/>
      <c r="K45" s="19"/>
      <c r="L45" s="19"/>
      <c r="M45" s="19"/>
      <c r="N45" s="19"/>
      <c r="O45" s="19"/>
      <c r="P45" s="19"/>
      <c r="Q45" s="19"/>
      <c r="R45" s="19"/>
      <c r="S45" s="19"/>
      <c r="T45" s="19"/>
      <c r="U45" s="19"/>
      <c r="V45" s="19"/>
      <c r="W45" s="19"/>
      <c r="X45" s="19"/>
      <c r="Y45" s="19"/>
      <c r="Z45" s="19"/>
    </row>
    <row r="46" spans="1:26" ht="30" customHeight="1" x14ac:dyDescent="0.3">
      <c r="A46" s="17" t="s">
        <v>317</v>
      </c>
      <c r="B46" s="32" t="s">
        <v>200</v>
      </c>
      <c r="C46" s="17" t="s">
        <v>359</v>
      </c>
      <c r="D46" s="17" t="s">
        <v>6</v>
      </c>
      <c r="E46" s="17">
        <v>1</v>
      </c>
      <c r="F46" s="21" t="s">
        <v>34</v>
      </c>
      <c r="G46" s="19"/>
      <c r="H46" s="19"/>
      <c r="I46" s="19"/>
      <c r="J46" s="19"/>
      <c r="K46" s="19"/>
      <c r="L46" s="19"/>
      <c r="M46" s="19"/>
      <c r="N46" s="19"/>
      <c r="O46" s="19"/>
      <c r="P46" s="19"/>
      <c r="Q46" s="19"/>
      <c r="R46" s="19"/>
      <c r="S46" s="19"/>
      <c r="T46" s="19"/>
      <c r="U46" s="19"/>
      <c r="V46" s="19"/>
      <c r="W46" s="19"/>
      <c r="X46" s="19"/>
      <c r="Y46" s="19"/>
      <c r="Z46" s="19"/>
    </row>
    <row r="47" spans="1:26" ht="30" customHeight="1" x14ac:dyDescent="0.3">
      <c r="A47" s="17" t="s">
        <v>320</v>
      </c>
      <c r="B47" s="28" t="s">
        <v>192</v>
      </c>
      <c r="C47" s="17" t="s">
        <v>360</v>
      </c>
      <c r="D47" s="17" t="s">
        <v>6</v>
      </c>
      <c r="E47" s="17">
        <v>2</v>
      </c>
      <c r="F47" s="21" t="s">
        <v>34</v>
      </c>
      <c r="G47" s="19"/>
      <c r="H47" s="19"/>
      <c r="I47" s="19"/>
      <c r="J47" s="19"/>
      <c r="K47" s="19"/>
      <c r="L47" s="19"/>
      <c r="M47" s="19"/>
      <c r="N47" s="19"/>
      <c r="O47" s="19"/>
      <c r="P47" s="19"/>
      <c r="Q47" s="19"/>
      <c r="R47" s="19"/>
      <c r="S47" s="19"/>
      <c r="T47" s="19"/>
      <c r="U47" s="19"/>
      <c r="V47" s="19"/>
      <c r="W47" s="19"/>
      <c r="X47" s="19"/>
      <c r="Y47" s="19"/>
      <c r="Z47" s="19"/>
    </row>
    <row r="48" spans="1:26" ht="30" customHeight="1" x14ac:dyDescent="0.3">
      <c r="A48" s="17" t="s">
        <v>320</v>
      </c>
      <c r="B48" s="31" t="s">
        <v>198</v>
      </c>
      <c r="C48" s="17" t="s">
        <v>361</v>
      </c>
      <c r="D48" s="17" t="s">
        <v>6</v>
      </c>
      <c r="E48" s="17">
        <v>4</v>
      </c>
      <c r="F48" s="21" t="s">
        <v>34</v>
      </c>
      <c r="G48" s="19"/>
      <c r="H48" s="19"/>
      <c r="I48" s="19"/>
      <c r="J48" s="19"/>
      <c r="K48" s="19"/>
      <c r="L48" s="19"/>
      <c r="M48" s="19"/>
      <c r="N48" s="19"/>
      <c r="O48" s="19"/>
      <c r="P48" s="19"/>
      <c r="Q48" s="19"/>
      <c r="R48" s="19"/>
      <c r="S48" s="19"/>
      <c r="T48" s="19"/>
      <c r="U48" s="19"/>
      <c r="V48" s="19"/>
      <c r="W48" s="19"/>
      <c r="X48" s="19"/>
      <c r="Y48" s="19"/>
      <c r="Z48" s="19"/>
    </row>
    <row r="49" spans="1:26" ht="30" customHeight="1" x14ac:dyDescent="0.3">
      <c r="A49" s="17" t="s">
        <v>320</v>
      </c>
      <c r="B49" s="31" t="s">
        <v>198</v>
      </c>
      <c r="C49" s="17" t="s">
        <v>362</v>
      </c>
      <c r="D49" s="17" t="s">
        <v>6</v>
      </c>
      <c r="E49" s="17">
        <v>4</v>
      </c>
      <c r="F49" s="21" t="s">
        <v>34</v>
      </c>
      <c r="G49" s="19"/>
      <c r="H49" s="19"/>
      <c r="I49" s="19"/>
      <c r="J49" s="19"/>
      <c r="K49" s="19"/>
      <c r="L49" s="19"/>
      <c r="M49" s="19"/>
      <c r="N49" s="19"/>
      <c r="O49" s="19"/>
      <c r="P49" s="19"/>
      <c r="Q49" s="19"/>
      <c r="R49" s="19"/>
      <c r="S49" s="19"/>
      <c r="T49" s="19"/>
      <c r="U49" s="19"/>
      <c r="V49" s="19"/>
      <c r="W49" s="19"/>
      <c r="X49" s="19"/>
      <c r="Y49" s="19"/>
      <c r="Z49" s="19"/>
    </row>
    <row r="50" spans="1:26" ht="30" customHeight="1" x14ac:dyDescent="0.3">
      <c r="A50" s="17" t="s">
        <v>320</v>
      </c>
      <c r="B50" s="31" t="s">
        <v>198</v>
      </c>
      <c r="C50" s="17" t="s">
        <v>363</v>
      </c>
      <c r="D50" s="17" t="s">
        <v>6</v>
      </c>
      <c r="E50" s="17">
        <v>2</v>
      </c>
      <c r="F50" s="21" t="s">
        <v>34</v>
      </c>
      <c r="G50" s="19"/>
      <c r="H50" s="19"/>
      <c r="I50" s="19"/>
      <c r="J50" s="19"/>
      <c r="K50" s="19"/>
      <c r="L50" s="19"/>
      <c r="M50" s="19"/>
      <c r="N50" s="19"/>
      <c r="O50" s="19"/>
      <c r="P50" s="19"/>
      <c r="Q50" s="19"/>
      <c r="R50" s="19"/>
      <c r="S50" s="19"/>
      <c r="T50" s="19"/>
      <c r="U50" s="19"/>
      <c r="V50" s="19"/>
      <c r="W50" s="19"/>
      <c r="X50" s="19"/>
      <c r="Y50" s="19"/>
      <c r="Z50" s="19"/>
    </row>
    <row r="51" spans="1:26" ht="30" customHeight="1" x14ac:dyDescent="0.3">
      <c r="A51" s="17" t="s">
        <v>320</v>
      </c>
      <c r="B51" s="32" t="s">
        <v>200</v>
      </c>
      <c r="C51" s="17" t="s">
        <v>364</v>
      </c>
      <c r="D51" s="17" t="s">
        <v>6</v>
      </c>
      <c r="E51" s="17">
        <v>2</v>
      </c>
      <c r="F51" s="21" t="s">
        <v>34</v>
      </c>
      <c r="G51" s="19"/>
      <c r="H51" s="19"/>
      <c r="I51" s="19"/>
      <c r="J51" s="19"/>
      <c r="K51" s="19"/>
      <c r="L51" s="19"/>
      <c r="M51" s="19"/>
      <c r="N51" s="19"/>
      <c r="O51" s="19"/>
      <c r="P51" s="19"/>
      <c r="Q51" s="19"/>
      <c r="R51" s="19"/>
      <c r="S51" s="19"/>
      <c r="T51" s="19"/>
      <c r="U51" s="19"/>
      <c r="V51" s="19"/>
      <c r="W51" s="19"/>
      <c r="X51" s="19"/>
      <c r="Y51" s="19"/>
      <c r="Z51" s="19"/>
    </row>
    <row r="52" spans="1:26" ht="30" customHeight="1" x14ac:dyDescent="0.3">
      <c r="A52" s="17" t="s">
        <v>323</v>
      </c>
      <c r="B52" s="28" t="s">
        <v>192</v>
      </c>
      <c r="C52" s="17" t="s">
        <v>365</v>
      </c>
      <c r="D52" s="17" t="s">
        <v>12</v>
      </c>
      <c r="E52" s="17">
        <v>2</v>
      </c>
      <c r="F52" s="21" t="s">
        <v>34</v>
      </c>
      <c r="G52" s="19"/>
      <c r="H52" s="19"/>
      <c r="I52" s="19"/>
      <c r="J52" s="19"/>
      <c r="K52" s="19"/>
      <c r="L52" s="19"/>
      <c r="M52" s="19"/>
      <c r="N52" s="19"/>
      <c r="O52" s="19"/>
      <c r="P52" s="19"/>
      <c r="Q52" s="19"/>
      <c r="R52" s="19"/>
      <c r="S52" s="19"/>
      <c r="T52" s="19"/>
      <c r="U52" s="19"/>
      <c r="V52" s="19"/>
      <c r="W52" s="19"/>
      <c r="X52" s="19"/>
      <c r="Y52" s="19"/>
      <c r="Z52" s="19"/>
    </row>
    <row r="53" spans="1:26" ht="30" customHeight="1" x14ac:dyDescent="0.3">
      <c r="A53" s="17" t="s">
        <v>323</v>
      </c>
      <c r="B53" s="29" t="s">
        <v>194</v>
      </c>
      <c r="C53" s="17" t="s">
        <v>366</v>
      </c>
      <c r="D53" s="17" t="s">
        <v>12</v>
      </c>
      <c r="E53" s="17">
        <v>2</v>
      </c>
      <c r="F53" s="21" t="s">
        <v>34</v>
      </c>
      <c r="G53" s="19"/>
      <c r="H53" s="19"/>
      <c r="I53" s="19"/>
      <c r="J53" s="19"/>
      <c r="K53" s="19"/>
      <c r="L53" s="19"/>
      <c r="M53" s="19"/>
      <c r="N53" s="19"/>
      <c r="O53" s="19"/>
      <c r="P53" s="19"/>
      <c r="Q53" s="19"/>
      <c r="R53" s="19"/>
      <c r="S53" s="19"/>
      <c r="T53" s="19"/>
      <c r="U53" s="19"/>
      <c r="V53" s="19"/>
      <c r="W53" s="19"/>
      <c r="X53" s="19"/>
      <c r="Y53" s="19"/>
      <c r="Z53" s="19"/>
    </row>
    <row r="54" spans="1:26" ht="30" customHeight="1" x14ac:dyDescent="0.3">
      <c r="A54" s="17" t="s">
        <v>323</v>
      </c>
      <c r="B54" s="30" t="s">
        <v>196</v>
      </c>
      <c r="C54" s="17" t="s">
        <v>367</v>
      </c>
      <c r="D54" s="17" t="s">
        <v>12</v>
      </c>
      <c r="E54" s="17">
        <v>3</v>
      </c>
      <c r="F54" s="21" t="s">
        <v>34</v>
      </c>
      <c r="G54" s="19"/>
      <c r="H54" s="19"/>
      <c r="I54" s="19"/>
      <c r="J54" s="19"/>
      <c r="K54" s="19"/>
      <c r="L54" s="19"/>
      <c r="M54" s="19"/>
      <c r="N54" s="19"/>
      <c r="O54" s="19"/>
      <c r="P54" s="19"/>
      <c r="Q54" s="19"/>
      <c r="R54" s="19"/>
      <c r="S54" s="19"/>
      <c r="T54" s="19"/>
      <c r="U54" s="19"/>
      <c r="V54" s="19"/>
      <c r="W54" s="19"/>
      <c r="X54" s="19"/>
      <c r="Y54" s="19"/>
      <c r="Z54" s="19"/>
    </row>
    <row r="55" spans="1:26" ht="30" customHeight="1" x14ac:dyDescent="0.3">
      <c r="A55" s="17" t="s">
        <v>323</v>
      </c>
      <c r="B55" s="30" t="s">
        <v>196</v>
      </c>
      <c r="C55" s="17" t="s">
        <v>368</v>
      </c>
      <c r="D55" s="17" t="s">
        <v>12</v>
      </c>
      <c r="E55" s="17">
        <v>2</v>
      </c>
      <c r="F55" s="21" t="s">
        <v>34</v>
      </c>
      <c r="G55" s="19"/>
      <c r="H55" s="19"/>
      <c r="I55" s="19"/>
      <c r="J55" s="19"/>
      <c r="K55" s="19"/>
      <c r="L55" s="19"/>
      <c r="M55" s="19"/>
      <c r="N55" s="19"/>
      <c r="O55" s="19"/>
      <c r="P55" s="19"/>
      <c r="Q55" s="19"/>
      <c r="R55" s="19"/>
      <c r="S55" s="19"/>
      <c r="T55" s="19"/>
      <c r="U55" s="19"/>
      <c r="V55" s="19"/>
      <c r="W55" s="19"/>
      <c r="X55" s="19"/>
      <c r="Y55" s="19"/>
      <c r="Z55" s="19"/>
    </row>
    <row r="56" spans="1:26" ht="30" customHeight="1" x14ac:dyDescent="0.3">
      <c r="A56" s="17" t="s">
        <v>323</v>
      </c>
      <c r="B56" s="31" t="s">
        <v>198</v>
      </c>
      <c r="C56" s="17" t="s">
        <v>369</v>
      </c>
      <c r="D56" s="17" t="s">
        <v>12</v>
      </c>
      <c r="E56" s="17">
        <v>5</v>
      </c>
      <c r="F56" s="21" t="s">
        <v>34</v>
      </c>
      <c r="G56" s="19"/>
      <c r="H56" s="19"/>
      <c r="I56" s="19"/>
      <c r="J56" s="19"/>
      <c r="K56" s="19"/>
      <c r="L56" s="19"/>
      <c r="M56" s="19"/>
      <c r="N56" s="19"/>
      <c r="O56" s="19"/>
      <c r="P56" s="19"/>
      <c r="Q56" s="19"/>
      <c r="R56" s="19"/>
      <c r="S56" s="19"/>
      <c r="T56" s="19"/>
      <c r="U56" s="19"/>
      <c r="V56" s="19"/>
      <c r="W56" s="19"/>
      <c r="X56" s="19"/>
      <c r="Y56" s="19"/>
      <c r="Z56" s="19"/>
    </row>
    <row r="57" spans="1:26" ht="30" customHeight="1" x14ac:dyDescent="0.3">
      <c r="A57" s="17" t="s">
        <v>323</v>
      </c>
      <c r="B57" s="32" t="s">
        <v>200</v>
      </c>
      <c r="C57" s="17" t="s">
        <v>370</v>
      </c>
      <c r="D57" s="17" t="s">
        <v>12</v>
      </c>
      <c r="E57" s="17">
        <v>2</v>
      </c>
      <c r="F57" s="21" t="s">
        <v>34</v>
      </c>
      <c r="G57" s="19"/>
      <c r="H57" s="19"/>
      <c r="I57" s="19"/>
      <c r="J57" s="19"/>
      <c r="K57" s="19"/>
      <c r="L57" s="19"/>
      <c r="M57" s="19"/>
      <c r="N57" s="19"/>
      <c r="O57" s="19"/>
      <c r="P57" s="19"/>
      <c r="Q57" s="19"/>
      <c r="R57" s="19"/>
      <c r="S57" s="19"/>
      <c r="T57" s="19"/>
      <c r="U57" s="19"/>
      <c r="V57" s="19"/>
      <c r="W57" s="19"/>
      <c r="X57" s="19"/>
      <c r="Y57" s="19"/>
      <c r="Z57" s="19"/>
    </row>
    <row r="58" spans="1:26" ht="30" customHeight="1" x14ac:dyDescent="0.3">
      <c r="A58" s="17" t="s">
        <v>326</v>
      </c>
      <c r="B58" s="28" t="s">
        <v>192</v>
      </c>
      <c r="C58" s="17" t="s">
        <v>371</v>
      </c>
      <c r="D58" s="17" t="s">
        <v>18</v>
      </c>
      <c r="E58" s="17">
        <v>1</v>
      </c>
      <c r="F58" s="21" t="s">
        <v>34</v>
      </c>
      <c r="G58" s="19"/>
      <c r="H58" s="19"/>
      <c r="I58" s="19"/>
      <c r="J58" s="19"/>
      <c r="K58" s="19"/>
      <c r="L58" s="19"/>
      <c r="M58" s="19"/>
      <c r="N58" s="19"/>
      <c r="O58" s="19"/>
      <c r="P58" s="19"/>
      <c r="Q58" s="19"/>
      <c r="R58" s="19"/>
      <c r="S58" s="19"/>
      <c r="T58" s="19"/>
      <c r="U58" s="19"/>
      <c r="V58" s="19"/>
      <c r="W58" s="19"/>
      <c r="X58" s="19"/>
      <c r="Y58" s="19"/>
      <c r="Z58" s="19"/>
    </row>
    <row r="59" spans="1:26" ht="30" customHeight="1" x14ac:dyDescent="0.3">
      <c r="A59" s="17" t="s">
        <v>326</v>
      </c>
      <c r="B59" s="29" t="s">
        <v>194</v>
      </c>
      <c r="C59" s="17" t="s">
        <v>372</v>
      </c>
      <c r="D59" s="17" t="s">
        <v>18</v>
      </c>
      <c r="E59" s="17">
        <v>1</v>
      </c>
      <c r="F59" s="21" t="s">
        <v>34</v>
      </c>
      <c r="G59" s="19"/>
      <c r="H59" s="19"/>
      <c r="I59" s="19"/>
      <c r="J59" s="19"/>
      <c r="K59" s="19"/>
      <c r="L59" s="19"/>
      <c r="M59" s="19"/>
      <c r="N59" s="19"/>
      <c r="O59" s="19"/>
      <c r="P59" s="19"/>
      <c r="Q59" s="19"/>
      <c r="R59" s="19"/>
      <c r="S59" s="19"/>
      <c r="T59" s="19"/>
      <c r="U59" s="19"/>
      <c r="V59" s="19"/>
      <c r="W59" s="19"/>
      <c r="X59" s="19"/>
      <c r="Y59" s="19"/>
      <c r="Z59" s="19"/>
    </row>
    <row r="60" spans="1:26" ht="30" customHeight="1" x14ac:dyDescent="0.3">
      <c r="A60" s="17" t="s">
        <v>326</v>
      </c>
      <c r="B60" s="30" t="s">
        <v>196</v>
      </c>
      <c r="C60" s="17" t="s">
        <v>373</v>
      </c>
      <c r="D60" s="17" t="s">
        <v>18</v>
      </c>
      <c r="E60" s="17">
        <v>2</v>
      </c>
      <c r="F60" s="21" t="s">
        <v>34</v>
      </c>
      <c r="G60" s="19"/>
      <c r="H60" s="19"/>
      <c r="I60" s="19"/>
      <c r="J60" s="19"/>
      <c r="K60" s="19"/>
      <c r="L60" s="19"/>
      <c r="M60" s="19"/>
      <c r="N60" s="19"/>
      <c r="O60" s="19"/>
      <c r="P60" s="19"/>
      <c r="Q60" s="19"/>
      <c r="R60" s="19"/>
      <c r="S60" s="19"/>
      <c r="T60" s="19"/>
      <c r="U60" s="19"/>
      <c r="V60" s="19"/>
      <c r="W60" s="19"/>
      <c r="X60" s="19"/>
      <c r="Y60" s="19"/>
      <c r="Z60" s="19"/>
    </row>
    <row r="61" spans="1:26" ht="30" customHeight="1" x14ac:dyDescent="0.3">
      <c r="A61" s="17" t="s">
        <v>326</v>
      </c>
      <c r="B61" s="31" t="s">
        <v>198</v>
      </c>
      <c r="C61" s="17" t="s">
        <v>374</v>
      </c>
      <c r="D61" s="17" t="s">
        <v>18</v>
      </c>
      <c r="E61" s="17">
        <v>2</v>
      </c>
      <c r="F61" s="21" t="s">
        <v>34</v>
      </c>
      <c r="G61" s="19"/>
      <c r="H61" s="19"/>
      <c r="I61" s="19"/>
      <c r="J61" s="19"/>
      <c r="K61" s="19"/>
      <c r="L61" s="19"/>
      <c r="M61" s="19"/>
      <c r="N61" s="19"/>
      <c r="O61" s="19"/>
      <c r="P61" s="19"/>
      <c r="Q61" s="19"/>
      <c r="R61" s="19"/>
      <c r="S61" s="19"/>
      <c r="T61" s="19"/>
      <c r="U61" s="19"/>
      <c r="V61" s="19"/>
      <c r="W61" s="19"/>
      <c r="X61" s="19"/>
      <c r="Y61" s="19"/>
      <c r="Z61" s="19"/>
    </row>
    <row r="62" spans="1:26" ht="30" customHeight="1" x14ac:dyDescent="0.3">
      <c r="A62" s="17" t="s">
        <v>326</v>
      </c>
      <c r="B62" s="32" t="s">
        <v>200</v>
      </c>
      <c r="C62" s="17" t="s">
        <v>375</v>
      </c>
      <c r="D62" s="17" t="s">
        <v>18</v>
      </c>
      <c r="E62" s="17">
        <v>1</v>
      </c>
      <c r="F62" s="39" t="s">
        <v>34</v>
      </c>
      <c r="G62" s="19"/>
      <c r="H62" s="19"/>
      <c r="I62" s="19"/>
      <c r="J62" s="19"/>
      <c r="K62" s="19"/>
      <c r="L62" s="19"/>
      <c r="M62" s="19"/>
      <c r="N62" s="19"/>
      <c r="O62" s="19"/>
      <c r="P62" s="19"/>
      <c r="Q62" s="19"/>
      <c r="R62" s="19"/>
      <c r="S62" s="19"/>
      <c r="T62" s="19"/>
      <c r="U62" s="19"/>
      <c r="V62" s="19"/>
      <c r="W62" s="19"/>
      <c r="X62" s="19"/>
      <c r="Y62" s="19"/>
      <c r="Z62" s="19"/>
    </row>
    <row r="63" spans="1:26" ht="30" customHeight="1" x14ac:dyDescent="0.3">
      <c r="A63" s="17" t="s">
        <v>329</v>
      </c>
      <c r="B63" s="28" t="s">
        <v>192</v>
      </c>
      <c r="C63" s="17" t="s">
        <v>376</v>
      </c>
      <c r="D63" s="17" t="s">
        <v>9</v>
      </c>
      <c r="E63" s="17">
        <v>1</v>
      </c>
      <c r="F63" s="39" t="s">
        <v>34</v>
      </c>
      <c r="G63" s="19"/>
      <c r="H63" s="19"/>
      <c r="I63" s="19"/>
      <c r="J63" s="19"/>
      <c r="K63" s="19"/>
      <c r="L63" s="19"/>
      <c r="M63" s="19"/>
      <c r="N63" s="19"/>
      <c r="O63" s="19"/>
      <c r="P63" s="19"/>
      <c r="Q63" s="19"/>
      <c r="R63" s="19"/>
      <c r="S63" s="19"/>
      <c r="T63" s="19"/>
      <c r="U63" s="19"/>
      <c r="V63" s="19"/>
      <c r="W63" s="19"/>
      <c r="X63" s="19"/>
      <c r="Y63" s="19"/>
      <c r="Z63" s="19"/>
    </row>
    <row r="64" spans="1:26" ht="30" customHeight="1" x14ac:dyDescent="0.3">
      <c r="A64" s="17" t="s">
        <v>329</v>
      </c>
      <c r="B64" s="29" t="s">
        <v>194</v>
      </c>
      <c r="C64" s="17" t="s">
        <v>377</v>
      </c>
      <c r="D64" s="17" t="s">
        <v>9</v>
      </c>
      <c r="E64" s="17">
        <v>1</v>
      </c>
      <c r="F64" s="40" t="s">
        <v>78</v>
      </c>
      <c r="G64" s="19"/>
      <c r="H64" s="19"/>
      <c r="I64" s="19"/>
      <c r="J64" s="19"/>
      <c r="K64" s="19"/>
      <c r="L64" s="19"/>
      <c r="M64" s="19"/>
      <c r="N64" s="19"/>
      <c r="O64" s="19"/>
      <c r="P64" s="19"/>
      <c r="Q64" s="19"/>
      <c r="R64" s="19"/>
      <c r="S64" s="19"/>
      <c r="T64" s="19"/>
      <c r="U64" s="19"/>
      <c r="V64" s="19"/>
      <c r="W64" s="19"/>
      <c r="X64" s="19"/>
      <c r="Y64" s="19"/>
      <c r="Z64" s="19"/>
    </row>
    <row r="65" spans="1:26" ht="30" customHeight="1" x14ac:dyDescent="0.3">
      <c r="A65" s="17" t="s">
        <v>329</v>
      </c>
      <c r="B65" s="30" t="s">
        <v>196</v>
      </c>
      <c r="C65" s="17" t="s">
        <v>378</v>
      </c>
      <c r="D65" s="17" t="s">
        <v>9</v>
      </c>
      <c r="E65" s="17">
        <v>2</v>
      </c>
      <c r="F65" s="40" t="s">
        <v>78</v>
      </c>
      <c r="G65" s="19"/>
      <c r="H65" s="19"/>
      <c r="I65" s="19"/>
      <c r="J65" s="19"/>
      <c r="K65" s="19"/>
      <c r="L65" s="19"/>
      <c r="M65" s="19"/>
      <c r="N65" s="19"/>
      <c r="O65" s="19"/>
      <c r="P65" s="19"/>
      <c r="Q65" s="19"/>
      <c r="R65" s="19"/>
      <c r="S65" s="19"/>
      <c r="T65" s="19"/>
      <c r="U65" s="19"/>
      <c r="V65" s="19"/>
      <c r="W65" s="19"/>
      <c r="X65" s="19"/>
      <c r="Y65" s="19"/>
      <c r="Z65" s="19"/>
    </row>
    <row r="66" spans="1:26" ht="30" customHeight="1" x14ac:dyDescent="0.3">
      <c r="A66" s="17" t="s">
        <v>329</v>
      </c>
      <c r="B66" s="31" t="s">
        <v>198</v>
      </c>
      <c r="C66" s="17" t="s">
        <v>379</v>
      </c>
      <c r="D66" s="17" t="s">
        <v>9</v>
      </c>
      <c r="E66" s="17">
        <v>2</v>
      </c>
      <c r="F66" s="39" t="s">
        <v>34</v>
      </c>
      <c r="G66" s="19"/>
      <c r="H66" s="19"/>
      <c r="I66" s="19"/>
      <c r="J66" s="19"/>
      <c r="K66" s="19"/>
      <c r="L66" s="19"/>
      <c r="M66" s="19"/>
      <c r="N66" s="19"/>
      <c r="O66" s="19"/>
      <c r="P66" s="19"/>
      <c r="Q66" s="19"/>
      <c r="R66" s="19"/>
      <c r="S66" s="19"/>
      <c r="T66" s="19"/>
      <c r="U66" s="19"/>
      <c r="V66" s="19"/>
      <c r="W66" s="19"/>
      <c r="X66" s="19"/>
      <c r="Y66" s="19"/>
      <c r="Z66" s="19"/>
    </row>
    <row r="67" spans="1:26" ht="30" customHeight="1" x14ac:dyDescent="0.3">
      <c r="A67" s="17" t="s">
        <v>329</v>
      </c>
      <c r="B67" s="32" t="s">
        <v>200</v>
      </c>
      <c r="C67" s="17" t="s">
        <v>380</v>
      </c>
      <c r="D67" s="17" t="s">
        <v>9</v>
      </c>
      <c r="E67" s="17">
        <v>1</v>
      </c>
      <c r="F67" s="40" t="s">
        <v>78</v>
      </c>
      <c r="G67" s="19"/>
      <c r="H67" s="19"/>
      <c r="I67" s="19"/>
      <c r="J67" s="19"/>
      <c r="K67" s="19"/>
      <c r="L67" s="19"/>
      <c r="M67" s="19"/>
      <c r="N67" s="19"/>
      <c r="O67" s="19"/>
      <c r="P67" s="19"/>
      <c r="Q67" s="19"/>
      <c r="R67" s="19"/>
      <c r="S67" s="19"/>
      <c r="T67" s="19"/>
      <c r="U67" s="19"/>
      <c r="V67" s="19"/>
      <c r="W67" s="19"/>
      <c r="X67" s="19"/>
      <c r="Y67" s="19"/>
      <c r="Z67" s="19"/>
    </row>
    <row r="68" spans="1:26" ht="30" customHeight="1" x14ac:dyDescent="0.3">
      <c r="A68" s="17" t="s">
        <v>332</v>
      </c>
      <c r="B68" s="28" t="s">
        <v>192</v>
      </c>
      <c r="C68" s="17" t="s">
        <v>381</v>
      </c>
      <c r="D68" s="17" t="s">
        <v>15</v>
      </c>
      <c r="E68" s="17">
        <v>1</v>
      </c>
      <c r="F68" s="21" t="s">
        <v>34</v>
      </c>
      <c r="G68" s="19"/>
      <c r="H68" s="19"/>
      <c r="I68" s="19"/>
      <c r="J68" s="19"/>
      <c r="K68" s="19"/>
      <c r="L68" s="19"/>
      <c r="M68" s="19"/>
      <c r="N68" s="19"/>
      <c r="O68" s="19"/>
      <c r="P68" s="19"/>
      <c r="Q68" s="19"/>
      <c r="R68" s="19"/>
      <c r="S68" s="19"/>
      <c r="T68" s="19"/>
      <c r="U68" s="19"/>
      <c r="V68" s="19"/>
      <c r="W68" s="19"/>
      <c r="X68" s="19"/>
      <c r="Y68" s="19"/>
      <c r="Z68" s="19"/>
    </row>
    <row r="69" spans="1:26" ht="30" customHeight="1" x14ac:dyDescent="0.3">
      <c r="A69" s="17" t="s">
        <v>332</v>
      </c>
      <c r="B69" s="29" t="s">
        <v>194</v>
      </c>
      <c r="C69" s="17" t="s">
        <v>382</v>
      </c>
      <c r="D69" s="17" t="s">
        <v>15</v>
      </c>
      <c r="E69" s="17">
        <v>1</v>
      </c>
      <c r="F69" s="21" t="s">
        <v>34</v>
      </c>
      <c r="G69" s="19"/>
      <c r="H69" s="19"/>
      <c r="I69" s="19"/>
      <c r="J69" s="19"/>
      <c r="K69" s="19"/>
      <c r="L69" s="19"/>
      <c r="M69" s="19"/>
      <c r="N69" s="19"/>
      <c r="O69" s="19"/>
      <c r="P69" s="19"/>
      <c r="Q69" s="19"/>
      <c r="R69" s="19"/>
      <c r="S69" s="19"/>
      <c r="T69" s="19"/>
      <c r="U69" s="19"/>
      <c r="V69" s="19"/>
      <c r="W69" s="19"/>
      <c r="X69" s="19"/>
      <c r="Y69" s="19"/>
      <c r="Z69" s="19"/>
    </row>
    <row r="70" spans="1:26" ht="30" customHeight="1" x14ac:dyDescent="0.3">
      <c r="A70" s="17" t="s">
        <v>332</v>
      </c>
      <c r="B70" s="30" t="s">
        <v>196</v>
      </c>
      <c r="C70" s="17" t="s">
        <v>383</v>
      </c>
      <c r="D70" s="17" t="s">
        <v>15</v>
      </c>
      <c r="E70" s="17">
        <v>2</v>
      </c>
      <c r="F70" s="21" t="s">
        <v>34</v>
      </c>
      <c r="G70" s="19"/>
      <c r="H70" s="19"/>
      <c r="I70" s="19"/>
      <c r="J70" s="19"/>
      <c r="K70" s="19"/>
      <c r="L70" s="19"/>
      <c r="M70" s="19"/>
      <c r="N70" s="19"/>
      <c r="O70" s="19"/>
      <c r="P70" s="19"/>
      <c r="Q70" s="19"/>
      <c r="R70" s="19"/>
      <c r="S70" s="19"/>
      <c r="T70" s="19"/>
      <c r="U70" s="19"/>
      <c r="V70" s="19"/>
      <c r="W70" s="19"/>
      <c r="X70" s="19"/>
      <c r="Y70" s="19"/>
      <c r="Z70" s="19"/>
    </row>
    <row r="71" spans="1:26" ht="30" customHeight="1" x14ac:dyDescent="0.3">
      <c r="A71" s="17" t="s">
        <v>332</v>
      </c>
      <c r="B71" s="31" t="s">
        <v>198</v>
      </c>
      <c r="C71" s="17" t="s">
        <v>384</v>
      </c>
      <c r="D71" s="17" t="s">
        <v>15</v>
      </c>
      <c r="E71" s="17">
        <v>3</v>
      </c>
      <c r="F71" s="21" t="s">
        <v>34</v>
      </c>
      <c r="G71" s="19"/>
      <c r="H71" s="19"/>
      <c r="I71" s="19"/>
      <c r="J71" s="19"/>
      <c r="K71" s="19"/>
      <c r="L71" s="19"/>
      <c r="M71" s="19"/>
      <c r="N71" s="19"/>
      <c r="O71" s="19"/>
      <c r="P71" s="19"/>
      <c r="Q71" s="19"/>
      <c r="R71" s="19"/>
      <c r="S71" s="19"/>
      <c r="T71" s="19"/>
      <c r="U71" s="19"/>
      <c r="V71" s="19"/>
      <c r="W71" s="19"/>
      <c r="X71" s="19"/>
      <c r="Y71" s="19"/>
      <c r="Z71" s="19"/>
    </row>
    <row r="72" spans="1:26" ht="30" customHeight="1" x14ac:dyDescent="0.3">
      <c r="A72" s="17" t="s">
        <v>332</v>
      </c>
      <c r="B72" s="32" t="s">
        <v>200</v>
      </c>
      <c r="C72" s="17" t="s">
        <v>385</v>
      </c>
      <c r="D72" s="17" t="s">
        <v>15</v>
      </c>
      <c r="E72" s="17">
        <v>1</v>
      </c>
      <c r="F72" s="21" t="s">
        <v>34</v>
      </c>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27" t="s">
        <v>386</v>
      </c>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6" t="s">
        <v>174</v>
      </c>
      <c r="B75" s="16"/>
      <c r="C75" s="16" t="s">
        <v>387</v>
      </c>
      <c r="D75" s="16" t="s">
        <v>388</v>
      </c>
      <c r="E75" s="16"/>
      <c r="F75" s="16" t="s">
        <v>389</v>
      </c>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7" t="s">
        <v>308</v>
      </c>
      <c r="B76" s="17"/>
      <c r="C76" s="17" t="s">
        <v>390</v>
      </c>
      <c r="D76" s="17" t="s">
        <v>6</v>
      </c>
      <c r="E76" s="17"/>
      <c r="F76" s="17" t="s">
        <v>12</v>
      </c>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7" t="s">
        <v>311</v>
      </c>
      <c r="B77" s="17"/>
      <c r="C77" s="17" t="s">
        <v>391</v>
      </c>
      <c r="D77" s="17" t="s">
        <v>6</v>
      </c>
      <c r="E77" s="17"/>
      <c r="F77" s="17" t="s">
        <v>15</v>
      </c>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7" t="s">
        <v>314</v>
      </c>
      <c r="B78" s="17"/>
      <c r="C78" s="17" t="s">
        <v>392</v>
      </c>
      <c r="D78" s="17" t="s">
        <v>6</v>
      </c>
      <c r="E78" s="17"/>
      <c r="F78" s="17" t="s">
        <v>9</v>
      </c>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7" t="s">
        <v>317</v>
      </c>
      <c r="B79" s="17"/>
      <c r="C79" s="17" t="s">
        <v>393</v>
      </c>
      <c r="D79" s="17" t="s">
        <v>6</v>
      </c>
      <c r="E79" s="17"/>
      <c r="F79" s="17" t="s">
        <v>18</v>
      </c>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7" t="s">
        <v>320</v>
      </c>
      <c r="B80" s="17"/>
      <c r="C80" s="17" t="s">
        <v>394</v>
      </c>
      <c r="D80" s="17" t="s">
        <v>6</v>
      </c>
      <c r="E80" s="17"/>
      <c r="F80" s="17" t="s">
        <v>15</v>
      </c>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7" t="s">
        <v>323</v>
      </c>
      <c r="B81" s="17"/>
      <c r="C81" s="17" t="s">
        <v>395</v>
      </c>
      <c r="D81" s="17" t="s">
        <v>12</v>
      </c>
      <c r="E81" s="17"/>
      <c r="F81" s="17" t="s">
        <v>6</v>
      </c>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7" t="s">
        <v>326</v>
      </c>
      <c r="B82" s="17"/>
      <c r="C82" s="17" t="s">
        <v>396</v>
      </c>
      <c r="D82" s="17" t="s">
        <v>18</v>
      </c>
      <c r="E82" s="17"/>
      <c r="F82" s="17" t="s">
        <v>12</v>
      </c>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7" t="s">
        <v>329</v>
      </c>
      <c r="B83" s="17"/>
      <c r="C83" s="17" t="s">
        <v>397</v>
      </c>
      <c r="D83" s="17" t="s">
        <v>9</v>
      </c>
      <c r="E83" s="17"/>
      <c r="F83" s="17" t="s">
        <v>18</v>
      </c>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7" t="s">
        <v>332</v>
      </c>
      <c r="B84" s="17"/>
      <c r="C84" s="17" t="s">
        <v>398</v>
      </c>
      <c r="D84" s="17" t="s">
        <v>15</v>
      </c>
      <c r="E84" s="17"/>
      <c r="F84" s="17" t="s">
        <v>9</v>
      </c>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27" t="s">
        <v>399</v>
      </c>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6" t="s">
        <v>174</v>
      </c>
      <c r="B87" s="16" t="s">
        <v>224</v>
      </c>
      <c r="C87" s="16" t="s">
        <v>225</v>
      </c>
      <c r="D87" s="16" t="s">
        <v>400</v>
      </c>
      <c r="E87" s="16" t="s">
        <v>191</v>
      </c>
      <c r="F87" s="16" t="s">
        <v>226</v>
      </c>
      <c r="G87" s="19"/>
      <c r="H87" s="19"/>
      <c r="I87" s="19"/>
      <c r="J87" s="19"/>
      <c r="K87" s="19"/>
      <c r="L87" s="19"/>
      <c r="M87" s="19"/>
      <c r="N87" s="19"/>
      <c r="O87" s="19"/>
      <c r="P87" s="19"/>
      <c r="Q87" s="19"/>
      <c r="R87" s="19"/>
      <c r="S87" s="19"/>
      <c r="T87" s="19"/>
      <c r="U87" s="19"/>
      <c r="V87" s="19"/>
      <c r="W87" s="19"/>
      <c r="X87" s="19"/>
      <c r="Y87" s="19"/>
      <c r="Z87" s="19"/>
    </row>
    <row r="88" spans="1:26" ht="42" customHeight="1" x14ac:dyDescent="0.3">
      <c r="A88" s="17" t="s">
        <v>308</v>
      </c>
      <c r="B88" s="33" t="s">
        <v>401</v>
      </c>
      <c r="C88" s="17" t="s">
        <v>402</v>
      </c>
      <c r="D88" s="17" t="s">
        <v>12</v>
      </c>
      <c r="E88" s="17">
        <v>1.5</v>
      </c>
      <c r="F88" s="21" t="s">
        <v>403</v>
      </c>
      <c r="G88" s="19"/>
      <c r="H88" s="19"/>
      <c r="I88" s="19"/>
      <c r="J88" s="19"/>
      <c r="K88" s="19"/>
      <c r="L88" s="19"/>
      <c r="M88" s="19"/>
      <c r="N88" s="19"/>
      <c r="O88" s="19"/>
      <c r="P88" s="19"/>
      <c r="Q88" s="19"/>
      <c r="R88" s="19"/>
      <c r="S88" s="19"/>
      <c r="T88" s="19"/>
      <c r="U88" s="19"/>
      <c r="V88" s="19"/>
      <c r="W88" s="19"/>
      <c r="X88" s="19"/>
      <c r="Y88" s="19"/>
      <c r="Z88" s="19"/>
    </row>
    <row r="89" spans="1:26" ht="42" customHeight="1" x14ac:dyDescent="0.3">
      <c r="A89" s="17" t="s">
        <v>308</v>
      </c>
      <c r="B89" s="33" t="s">
        <v>404</v>
      </c>
      <c r="C89" s="17" t="s">
        <v>405</v>
      </c>
      <c r="D89" s="17" t="s">
        <v>12</v>
      </c>
      <c r="E89" s="17">
        <v>1.5</v>
      </c>
      <c r="F89" s="21" t="s">
        <v>403</v>
      </c>
      <c r="G89" s="19"/>
      <c r="H89" s="19"/>
      <c r="I89" s="19"/>
      <c r="J89" s="19"/>
      <c r="K89" s="19"/>
      <c r="L89" s="19"/>
      <c r="M89" s="19"/>
      <c r="N89" s="19"/>
      <c r="O89" s="19"/>
      <c r="P89" s="19"/>
      <c r="Q89" s="19"/>
      <c r="R89" s="19"/>
      <c r="S89" s="19"/>
      <c r="T89" s="19"/>
      <c r="U89" s="19"/>
      <c r="V89" s="19"/>
      <c r="W89" s="19"/>
      <c r="X89" s="19"/>
      <c r="Y89" s="19"/>
      <c r="Z89" s="19"/>
    </row>
    <row r="90" spans="1:26" ht="42" customHeight="1" x14ac:dyDescent="0.3">
      <c r="A90" s="17" t="s">
        <v>308</v>
      </c>
      <c r="B90" s="33" t="s">
        <v>406</v>
      </c>
      <c r="C90" s="17" t="s">
        <v>407</v>
      </c>
      <c r="D90" s="17" t="s">
        <v>12</v>
      </c>
      <c r="E90" s="17">
        <v>1.5</v>
      </c>
      <c r="F90" s="21" t="s">
        <v>403</v>
      </c>
      <c r="G90" s="19"/>
      <c r="H90" s="19"/>
      <c r="I90" s="19"/>
      <c r="J90" s="19"/>
      <c r="K90" s="19"/>
      <c r="L90" s="19"/>
      <c r="M90" s="19"/>
      <c r="N90" s="19"/>
      <c r="O90" s="19"/>
      <c r="P90" s="19"/>
      <c r="Q90" s="19"/>
      <c r="R90" s="19"/>
      <c r="S90" s="19"/>
      <c r="T90" s="19"/>
      <c r="U90" s="19"/>
      <c r="V90" s="19"/>
      <c r="W90" s="19"/>
      <c r="X90" s="19"/>
      <c r="Y90" s="19"/>
      <c r="Z90" s="19"/>
    </row>
    <row r="91" spans="1:26" ht="42" customHeight="1" x14ac:dyDescent="0.3">
      <c r="A91" s="17" t="s">
        <v>308</v>
      </c>
      <c r="B91" s="33" t="s">
        <v>408</v>
      </c>
      <c r="C91" s="17" t="s">
        <v>409</v>
      </c>
      <c r="D91" s="17" t="s">
        <v>12</v>
      </c>
      <c r="E91" s="17">
        <v>1.5</v>
      </c>
      <c r="F91" s="21" t="s">
        <v>403</v>
      </c>
      <c r="G91" s="19"/>
      <c r="H91" s="19"/>
      <c r="I91" s="19"/>
      <c r="J91" s="19"/>
      <c r="K91" s="19"/>
      <c r="L91" s="19"/>
      <c r="M91" s="19"/>
      <c r="N91" s="19"/>
      <c r="O91" s="19"/>
      <c r="P91" s="19"/>
      <c r="Q91" s="19"/>
      <c r="R91" s="19"/>
      <c r="S91" s="19"/>
      <c r="T91" s="19"/>
      <c r="U91" s="19"/>
      <c r="V91" s="19"/>
      <c r="W91" s="19"/>
      <c r="X91" s="19"/>
      <c r="Y91" s="19"/>
      <c r="Z91" s="19"/>
    </row>
    <row r="92" spans="1:26" ht="42" customHeight="1" x14ac:dyDescent="0.3">
      <c r="A92" s="17" t="s">
        <v>308</v>
      </c>
      <c r="B92" s="33" t="s">
        <v>410</v>
      </c>
      <c r="C92" s="17" t="s">
        <v>411</v>
      </c>
      <c r="D92" s="17" t="s">
        <v>12</v>
      </c>
      <c r="E92" s="17">
        <v>1.5</v>
      </c>
      <c r="F92" s="21" t="s">
        <v>403</v>
      </c>
      <c r="G92" s="19"/>
      <c r="H92" s="19"/>
      <c r="I92" s="19"/>
      <c r="J92" s="19"/>
      <c r="K92" s="19"/>
      <c r="L92" s="19"/>
      <c r="M92" s="19"/>
      <c r="N92" s="19"/>
      <c r="O92" s="19"/>
      <c r="P92" s="19"/>
      <c r="Q92" s="19"/>
      <c r="R92" s="19"/>
      <c r="S92" s="19"/>
      <c r="T92" s="19"/>
      <c r="U92" s="19"/>
      <c r="V92" s="19"/>
      <c r="W92" s="19"/>
      <c r="X92" s="19"/>
      <c r="Y92" s="19"/>
      <c r="Z92" s="19"/>
    </row>
    <row r="93" spans="1:26" ht="42" customHeight="1" x14ac:dyDescent="0.3">
      <c r="A93" s="17" t="s">
        <v>311</v>
      </c>
      <c r="B93" s="33" t="s">
        <v>412</v>
      </c>
      <c r="C93" s="17" t="s">
        <v>413</v>
      </c>
      <c r="D93" s="17" t="s">
        <v>15</v>
      </c>
      <c r="E93" s="17">
        <v>1.5</v>
      </c>
      <c r="F93" s="21" t="s">
        <v>403</v>
      </c>
      <c r="G93" s="19"/>
      <c r="H93" s="19"/>
      <c r="I93" s="19"/>
      <c r="J93" s="19"/>
      <c r="K93" s="19"/>
      <c r="L93" s="19"/>
      <c r="M93" s="19"/>
      <c r="N93" s="19"/>
      <c r="O93" s="19"/>
      <c r="P93" s="19"/>
      <c r="Q93" s="19"/>
      <c r="R93" s="19"/>
      <c r="S93" s="19"/>
      <c r="T93" s="19"/>
      <c r="U93" s="19"/>
      <c r="V93" s="19"/>
      <c r="W93" s="19"/>
      <c r="X93" s="19"/>
      <c r="Y93" s="19"/>
      <c r="Z93" s="19"/>
    </row>
    <row r="94" spans="1:26" ht="42" customHeight="1" x14ac:dyDescent="0.3">
      <c r="A94" s="17" t="s">
        <v>311</v>
      </c>
      <c r="B94" s="33" t="s">
        <v>414</v>
      </c>
      <c r="C94" s="17" t="s">
        <v>415</v>
      </c>
      <c r="D94" s="17" t="s">
        <v>15</v>
      </c>
      <c r="E94" s="17">
        <v>1.5</v>
      </c>
      <c r="F94" s="21" t="s">
        <v>403</v>
      </c>
      <c r="G94" s="19"/>
      <c r="H94" s="19"/>
      <c r="I94" s="19"/>
      <c r="J94" s="19"/>
      <c r="K94" s="19"/>
      <c r="L94" s="19"/>
      <c r="M94" s="19"/>
      <c r="N94" s="19"/>
      <c r="O94" s="19"/>
      <c r="P94" s="19"/>
      <c r="Q94" s="19"/>
      <c r="R94" s="19"/>
      <c r="S94" s="19"/>
      <c r="T94" s="19"/>
      <c r="U94" s="19"/>
      <c r="V94" s="19"/>
      <c r="W94" s="19"/>
      <c r="X94" s="19"/>
      <c r="Y94" s="19"/>
      <c r="Z94" s="19"/>
    </row>
    <row r="95" spans="1:26" ht="42" customHeight="1" x14ac:dyDescent="0.3">
      <c r="A95" s="17" t="s">
        <v>311</v>
      </c>
      <c r="B95" s="33" t="s">
        <v>416</v>
      </c>
      <c r="C95" s="17" t="s">
        <v>417</v>
      </c>
      <c r="D95" s="17" t="s">
        <v>15</v>
      </c>
      <c r="E95" s="17">
        <v>1.5</v>
      </c>
      <c r="F95" s="21" t="s">
        <v>403</v>
      </c>
      <c r="G95" s="19"/>
      <c r="H95" s="19"/>
      <c r="I95" s="19"/>
      <c r="J95" s="19"/>
      <c r="K95" s="19"/>
      <c r="L95" s="19"/>
      <c r="M95" s="19"/>
      <c r="N95" s="19"/>
      <c r="O95" s="19"/>
      <c r="P95" s="19"/>
      <c r="Q95" s="19"/>
      <c r="R95" s="19"/>
      <c r="S95" s="19"/>
      <c r="T95" s="19"/>
      <c r="U95" s="19"/>
      <c r="V95" s="19"/>
      <c r="W95" s="19"/>
      <c r="X95" s="19"/>
      <c r="Y95" s="19"/>
      <c r="Z95" s="19"/>
    </row>
    <row r="96" spans="1:26" ht="42" customHeight="1" x14ac:dyDescent="0.3">
      <c r="A96" s="17" t="s">
        <v>314</v>
      </c>
      <c r="B96" s="33" t="s">
        <v>418</v>
      </c>
      <c r="C96" s="17" t="s">
        <v>419</v>
      </c>
      <c r="D96" s="17" t="s">
        <v>9</v>
      </c>
      <c r="E96" s="17">
        <v>1.5</v>
      </c>
      <c r="F96" s="21" t="s">
        <v>403</v>
      </c>
      <c r="G96" s="19"/>
      <c r="H96" s="19"/>
      <c r="I96" s="19"/>
      <c r="J96" s="19"/>
      <c r="K96" s="19"/>
      <c r="L96" s="19"/>
      <c r="M96" s="19"/>
      <c r="N96" s="19"/>
      <c r="O96" s="19"/>
      <c r="P96" s="19"/>
      <c r="Q96" s="19"/>
      <c r="R96" s="19"/>
      <c r="S96" s="19"/>
      <c r="T96" s="19"/>
      <c r="U96" s="19"/>
      <c r="V96" s="19"/>
      <c r="W96" s="19"/>
      <c r="X96" s="19"/>
      <c r="Y96" s="19"/>
      <c r="Z96" s="19"/>
    </row>
    <row r="97" spans="1:26" ht="42" customHeight="1" x14ac:dyDescent="0.3">
      <c r="A97" s="17" t="s">
        <v>314</v>
      </c>
      <c r="B97" s="33" t="s">
        <v>420</v>
      </c>
      <c r="C97" s="17" t="s">
        <v>421</v>
      </c>
      <c r="D97" s="17" t="s">
        <v>9</v>
      </c>
      <c r="E97" s="17">
        <v>1.5</v>
      </c>
      <c r="F97" s="21" t="s">
        <v>403</v>
      </c>
      <c r="G97" s="19"/>
      <c r="H97" s="19"/>
      <c r="I97" s="19"/>
      <c r="J97" s="19"/>
      <c r="K97" s="19"/>
      <c r="L97" s="19"/>
      <c r="M97" s="19"/>
      <c r="N97" s="19"/>
      <c r="O97" s="19"/>
      <c r="P97" s="19"/>
      <c r="Q97" s="19"/>
      <c r="R97" s="19"/>
      <c r="S97" s="19"/>
      <c r="T97" s="19"/>
      <c r="U97" s="19"/>
      <c r="V97" s="19"/>
      <c r="W97" s="19"/>
      <c r="X97" s="19"/>
      <c r="Y97" s="19"/>
      <c r="Z97" s="19"/>
    </row>
    <row r="98" spans="1:26" ht="42" customHeight="1" x14ac:dyDescent="0.3">
      <c r="A98" s="17" t="s">
        <v>314</v>
      </c>
      <c r="B98" s="33" t="s">
        <v>422</v>
      </c>
      <c r="C98" s="17" t="s">
        <v>423</v>
      </c>
      <c r="D98" s="17" t="s">
        <v>9</v>
      </c>
      <c r="E98" s="17">
        <v>1.5</v>
      </c>
      <c r="F98" s="21" t="s">
        <v>403</v>
      </c>
      <c r="G98" s="19"/>
      <c r="H98" s="19"/>
      <c r="I98" s="19"/>
      <c r="J98" s="19"/>
      <c r="K98" s="19"/>
      <c r="L98" s="19"/>
      <c r="M98" s="19"/>
      <c r="N98" s="19"/>
      <c r="O98" s="19"/>
      <c r="P98" s="19"/>
      <c r="Q98" s="19"/>
      <c r="R98" s="19"/>
      <c r="S98" s="19"/>
      <c r="T98" s="19"/>
      <c r="U98" s="19"/>
      <c r="V98" s="19"/>
      <c r="W98" s="19"/>
      <c r="X98" s="19"/>
      <c r="Y98" s="19"/>
      <c r="Z98" s="19"/>
    </row>
    <row r="99" spans="1:26" ht="42" customHeight="1" x14ac:dyDescent="0.3">
      <c r="A99" s="17" t="s">
        <v>317</v>
      </c>
      <c r="B99" s="33" t="s">
        <v>424</v>
      </c>
      <c r="C99" s="17" t="s">
        <v>425</v>
      </c>
      <c r="D99" s="17" t="s">
        <v>18</v>
      </c>
      <c r="E99" s="17">
        <v>1.5</v>
      </c>
      <c r="F99" s="21" t="s">
        <v>403</v>
      </c>
      <c r="G99" s="19"/>
      <c r="H99" s="19"/>
      <c r="I99" s="19"/>
      <c r="J99" s="19"/>
      <c r="K99" s="19"/>
      <c r="L99" s="19"/>
      <c r="M99" s="19"/>
      <c r="N99" s="19"/>
      <c r="O99" s="19"/>
      <c r="P99" s="19"/>
      <c r="Q99" s="19"/>
      <c r="R99" s="19"/>
      <c r="S99" s="19"/>
      <c r="T99" s="19"/>
      <c r="U99" s="19"/>
      <c r="V99" s="19"/>
      <c r="W99" s="19"/>
      <c r="X99" s="19"/>
      <c r="Y99" s="19"/>
      <c r="Z99" s="19"/>
    </row>
    <row r="100" spans="1:26" ht="42" customHeight="1" x14ac:dyDescent="0.3">
      <c r="A100" s="17" t="s">
        <v>317</v>
      </c>
      <c r="B100" s="33" t="s">
        <v>426</v>
      </c>
      <c r="C100" s="17" t="s">
        <v>427</v>
      </c>
      <c r="D100" s="17" t="s">
        <v>18</v>
      </c>
      <c r="E100" s="17">
        <v>1.5</v>
      </c>
      <c r="F100" s="21" t="s">
        <v>403</v>
      </c>
      <c r="G100" s="19"/>
      <c r="H100" s="19"/>
      <c r="I100" s="19"/>
      <c r="J100" s="19"/>
      <c r="K100" s="19"/>
      <c r="L100" s="19"/>
      <c r="M100" s="19"/>
      <c r="N100" s="19"/>
      <c r="O100" s="19"/>
      <c r="P100" s="19"/>
      <c r="Q100" s="19"/>
      <c r="R100" s="19"/>
      <c r="S100" s="19"/>
      <c r="T100" s="19"/>
      <c r="U100" s="19"/>
      <c r="V100" s="19"/>
      <c r="W100" s="19"/>
      <c r="X100" s="19"/>
      <c r="Y100" s="19"/>
      <c r="Z100" s="19"/>
    </row>
    <row r="101" spans="1:26" ht="42" customHeight="1" x14ac:dyDescent="0.3">
      <c r="A101" s="17" t="s">
        <v>320</v>
      </c>
      <c r="B101" s="33" t="s">
        <v>428</v>
      </c>
      <c r="C101" s="17" t="s">
        <v>429</v>
      </c>
      <c r="D101" s="17" t="s">
        <v>15</v>
      </c>
      <c r="E101" s="17">
        <v>1.5</v>
      </c>
      <c r="F101" s="21" t="s">
        <v>403</v>
      </c>
      <c r="G101" s="19"/>
      <c r="H101" s="19"/>
      <c r="I101" s="19"/>
      <c r="J101" s="19"/>
      <c r="K101" s="19"/>
      <c r="L101" s="19"/>
      <c r="M101" s="19"/>
      <c r="N101" s="19"/>
      <c r="O101" s="19"/>
      <c r="P101" s="19"/>
      <c r="Q101" s="19"/>
      <c r="R101" s="19"/>
      <c r="S101" s="19"/>
      <c r="T101" s="19"/>
      <c r="U101" s="19"/>
      <c r="V101" s="19"/>
      <c r="W101" s="19"/>
      <c r="X101" s="19"/>
      <c r="Y101" s="19"/>
      <c r="Z101" s="19"/>
    </row>
    <row r="102" spans="1:26" ht="42" customHeight="1" x14ac:dyDescent="0.3">
      <c r="A102" s="17" t="s">
        <v>320</v>
      </c>
      <c r="B102" s="33" t="s">
        <v>430</v>
      </c>
      <c r="C102" s="17" t="s">
        <v>429</v>
      </c>
      <c r="D102" s="17" t="s">
        <v>15</v>
      </c>
      <c r="E102" s="17">
        <v>1.5</v>
      </c>
      <c r="F102" s="21" t="s">
        <v>403</v>
      </c>
      <c r="G102" s="19"/>
      <c r="H102" s="19"/>
      <c r="I102" s="19"/>
      <c r="J102" s="19"/>
      <c r="K102" s="19"/>
      <c r="L102" s="19"/>
      <c r="M102" s="19"/>
      <c r="N102" s="19"/>
      <c r="O102" s="19"/>
      <c r="P102" s="19"/>
      <c r="Q102" s="19"/>
      <c r="R102" s="19"/>
      <c r="S102" s="19"/>
      <c r="T102" s="19"/>
      <c r="U102" s="19"/>
      <c r="V102" s="19"/>
      <c r="W102" s="19"/>
      <c r="X102" s="19"/>
      <c r="Y102" s="19"/>
      <c r="Z102" s="19"/>
    </row>
    <row r="103" spans="1:26" ht="42" customHeight="1" x14ac:dyDescent="0.3">
      <c r="A103" s="17" t="s">
        <v>320</v>
      </c>
      <c r="B103" s="33" t="s">
        <v>431</v>
      </c>
      <c r="C103" s="17" t="s">
        <v>429</v>
      </c>
      <c r="D103" s="17" t="s">
        <v>15</v>
      </c>
      <c r="E103" s="17">
        <v>1.5</v>
      </c>
      <c r="F103" s="21" t="s">
        <v>403</v>
      </c>
      <c r="G103" s="19"/>
      <c r="H103" s="19"/>
      <c r="I103" s="19"/>
      <c r="J103" s="19"/>
      <c r="K103" s="19"/>
      <c r="L103" s="19"/>
      <c r="M103" s="19"/>
      <c r="N103" s="19"/>
      <c r="O103" s="19"/>
      <c r="P103" s="19"/>
      <c r="Q103" s="19"/>
      <c r="R103" s="19"/>
      <c r="S103" s="19"/>
      <c r="T103" s="19"/>
      <c r="U103" s="19"/>
      <c r="V103" s="19"/>
      <c r="W103" s="19"/>
      <c r="X103" s="19"/>
      <c r="Y103" s="19"/>
      <c r="Z103" s="19"/>
    </row>
    <row r="104" spans="1:26" ht="42" customHeight="1" x14ac:dyDescent="0.3">
      <c r="A104" s="17" t="s">
        <v>320</v>
      </c>
      <c r="B104" s="33" t="s">
        <v>432</v>
      </c>
      <c r="C104" s="17" t="s">
        <v>433</v>
      </c>
      <c r="D104" s="17" t="s">
        <v>15</v>
      </c>
      <c r="E104" s="17">
        <v>1.5</v>
      </c>
      <c r="F104" s="21" t="s">
        <v>403</v>
      </c>
      <c r="G104" s="19"/>
      <c r="H104" s="19"/>
      <c r="I104" s="19"/>
      <c r="J104" s="19"/>
      <c r="K104" s="19"/>
      <c r="L104" s="19"/>
      <c r="M104" s="19"/>
      <c r="N104" s="19"/>
      <c r="O104" s="19"/>
      <c r="P104" s="19"/>
      <c r="Q104" s="19"/>
      <c r="R104" s="19"/>
      <c r="S104" s="19"/>
      <c r="T104" s="19"/>
      <c r="U104" s="19"/>
      <c r="V104" s="19"/>
      <c r="W104" s="19"/>
      <c r="X104" s="19"/>
      <c r="Y104" s="19"/>
      <c r="Z104" s="19"/>
    </row>
    <row r="105" spans="1:26" ht="42" customHeight="1" x14ac:dyDescent="0.3">
      <c r="A105" s="17" t="s">
        <v>323</v>
      </c>
      <c r="B105" s="33" t="s">
        <v>434</v>
      </c>
      <c r="C105" s="17" t="s">
        <v>435</v>
      </c>
      <c r="D105" s="17" t="s">
        <v>6</v>
      </c>
      <c r="E105" s="17">
        <v>1.5</v>
      </c>
      <c r="F105" s="21" t="s">
        <v>403</v>
      </c>
      <c r="G105" s="19"/>
      <c r="H105" s="19"/>
      <c r="I105" s="19"/>
      <c r="J105" s="19"/>
      <c r="K105" s="19"/>
      <c r="L105" s="19"/>
      <c r="M105" s="19"/>
      <c r="N105" s="19"/>
      <c r="O105" s="19"/>
      <c r="P105" s="19"/>
      <c r="Q105" s="19"/>
      <c r="R105" s="19"/>
      <c r="S105" s="19"/>
      <c r="T105" s="19"/>
      <c r="U105" s="19"/>
      <c r="V105" s="19"/>
      <c r="W105" s="19"/>
      <c r="X105" s="19"/>
      <c r="Y105" s="19"/>
      <c r="Z105" s="19"/>
    </row>
    <row r="106" spans="1:26" ht="42" customHeight="1" x14ac:dyDescent="0.3">
      <c r="A106" s="17" t="s">
        <v>323</v>
      </c>
      <c r="B106" s="33" t="s">
        <v>436</v>
      </c>
      <c r="C106" s="17" t="s">
        <v>437</v>
      </c>
      <c r="D106" s="17" t="s">
        <v>6</v>
      </c>
      <c r="E106" s="17">
        <v>1.5</v>
      </c>
      <c r="F106" s="21" t="s">
        <v>403</v>
      </c>
      <c r="G106" s="19"/>
      <c r="H106" s="19"/>
      <c r="I106" s="19"/>
      <c r="J106" s="19"/>
      <c r="K106" s="19"/>
      <c r="L106" s="19"/>
      <c r="M106" s="19"/>
      <c r="N106" s="19"/>
      <c r="O106" s="19"/>
      <c r="P106" s="19"/>
      <c r="Q106" s="19"/>
      <c r="R106" s="19"/>
      <c r="S106" s="19"/>
      <c r="T106" s="19"/>
      <c r="U106" s="19"/>
      <c r="V106" s="19"/>
      <c r="W106" s="19"/>
      <c r="X106" s="19"/>
      <c r="Y106" s="19"/>
      <c r="Z106" s="19"/>
    </row>
    <row r="107" spans="1:26" ht="42" customHeight="1" x14ac:dyDescent="0.3">
      <c r="A107" s="17" t="s">
        <v>323</v>
      </c>
      <c r="B107" s="33" t="s">
        <v>438</v>
      </c>
      <c r="C107" s="17" t="s">
        <v>439</v>
      </c>
      <c r="D107" s="17" t="s">
        <v>6</v>
      </c>
      <c r="E107" s="17">
        <v>1.5</v>
      </c>
      <c r="F107" s="21" t="s">
        <v>403</v>
      </c>
      <c r="G107" s="19"/>
      <c r="H107" s="19"/>
      <c r="I107" s="19"/>
      <c r="J107" s="19"/>
      <c r="K107" s="19"/>
      <c r="L107" s="19"/>
      <c r="M107" s="19"/>
      <c r="N107" s="19"/>
      <c r="O107" s="19"/>
      <c r="P107" s="19"/>
      <c r="Q107" s="19"/>
      <c r="R107" s="19"/>
      <c r="S107" s="19"/>
      <c r="T107" s="19"/>
      <c r="U107" s="19"/>
      <c r="V107" s="19"/>
      <c r="W107" s="19"/>
      <c r="X107" s="19"/>
      <c r="Y107" s="19"/>
      <c r="Z107" s="19"/>
    </row>
    <row r="108" spans="1:26" ht="42" customHeight="1" x14ac:dyDescent="0.3">
      <c r="A108" s="17" t="s">
        <v>323</v>
      </c>
      <c r="B108" s="33" t="s">
        <v>440</v>
      </c>
      <c r="C108" s="17" t="s">
        <v>441</v>
      </c>
      <c r="D108" s="17" t="s">
        <v>6</v>
      </c>
      <c r="E108" s="17">
        <v>1.5</v>
      </c>
      <c r="F108" s="21" t="s">
        <v>403</v>
      </c>
      <c r="G108" s="19"/>
      <c r="H108" s="19"/>
      <c r="I108" s="19"/>
      <c r="J108" s="19"/>
      <c r="K108" s="19"/>
      <c r="L108" s="19"/>
      <c r="M108" s="19"/>
      <c r="N108" s="19"/>
      <c r="O108" s="19"/>
      <c r="P108" s="19"/>
      <c r="Q108" s="19"/>
      <c r="R108" s="19"/>
      <c r="S108" s="19"/>
      <c r="T108" s="19"/>
      <c r="U108" s="19"/>
      <c r="V108" s="19"/>
      <c r="W108" s="19"/>
      <c r="X108" s="19"/>
      <c r="Y108" s="19"/>
      <c r="Z108" s="19"/>
    </row>
    <row r="109" spans="1:26" ht="42" customHeight="1" x14ac:dyDescent="0.3">
      <c r="A109" s="17" t="s">
        <v>323</v>
      </c>
      <c r="B109" s="33" t="s">
        <v>442</v>
      </c>
      <c r="C109" s="17" t="s">
        <v>443</v>
      </c>
      <c r="D109" s="17" t="s">
        <v>6</v>
      </c>
      <c r="E109" s="17">
        <v>1.5</v>
      </c>
      <c r="F109" s="21" t="s">
        <v>403</v>
      </c>
      <c r="G109" s="19"/>
      <c r="H109" s="19"/>
      <c r="I109" s="19"/>
      <c r="J109" s="19"/>
      <c r="K109" s="19"/>
      <c r="L109" s="19"/>
      <c r="M109" s="19"/>
      <c r="N109" s="19"/>
      <c r="O109" s="19"/>
      <c r="P109" s="19"/>
      <c r="Q109" s="19"/>
      <c r="R109" s="19"/>
      <c r="S109" s="19"/>
      <c r="T109" s="19"/>
      <c r="U109" s="19"/>
      <c r="V109" s="19"/>
      <c r="W109" s="19"/>
      <c r="X109" s="19"/>
      <c r="Y109" s="19"/>
      <c r="Z109" s="19"/>
    </row>
    <row r="110" spans="1:26" ht="42" customHeight="1" x14ac:dyDescent="0.3">
      <c r="A110" s="17" t="s">
        <v>323</v>
      </c>
      <c r="B110" s="33" t="s">
        <v>444</v>
      </c>
      <c r="C110" s="17" t="s">
        <v>445</v>
      </c>
      <c r="D110" s="17" t="s">
        <v>6</v>
      </c>
      <c r="E110" s="17">
        <v>1.5</v>
      </c>
      <c r="F110" s="21" t="s">
        <v>403</v>
      </c>
      <c r="G110" s="19"/>
      <c r="H110" s="19"/>
      <c r="I110" s="19"/>
      <c r="J110" s="19"/>
      <c r="K110" s="19"/>
      <c r="L110" s="19"/>
      <c r="M110" s="19"/>
      <c r="N110" s="19"/>
      <c r="O110" s="19"/>
      <c r="P110" s="19"/>
      <c r="Q110" s="19"/>
      <c r="R110" s="19"/>
      <c r="S110" s="19"/>
      <c r="T110" s="19"/>
      <c r="U110" s="19"/>
      <c r="V110" s="19"/>
      <c r="W110" s="19"/>
      <c r="X110" s="19"/>
      <c r="Y110" s="19"/>
      <c r="Z110" s="19"/>
    </row>
    <row r="111" spans="1:26" ht="42" customHeight="1" x14ac:dyDescent="0.3">
      <c r="A111" s="17" t="s">
        <v>326</v>
      </c>
      <c r="B111" s="33" t="s">
        <v>446</v>
      </c>
      <c r="C111" s="17" t="s">
        <v>447</v>
      </c>
      <c r="D111" s="17" t="s">
        <v>12</v>
      </c>
      <c r="E111" s="17">
        <v>1.5</v>
      </c>
      <c r="F111" s="21" t="s">
        <v>403</v>
      </c>
      <c r="G111" s="19"/>
      <c r="H111" s="19"/>
      <c r="I111" s="19"/>
      <c r="J111" s="19"/>
      <c r="K111" s="19"/>
      <c r="L111" s="19"/>
      <c r="M111" s="19"/>
      <c r="N111" s="19"/>
      <c r="O111" s="19"/>
      <c r="P111" s="19"/>
      <c r="Q111" s="19"/>
      <c r="R111" s="19"/>
      <c r="S111" s="19"/>
      <c r="T111" s="19"/>
      <c r="U111" s="19"/>
      <c r="V111" s="19"/>
      <c r="W111" s="19"/>
      <c r="X111" s="19"/>
      <c r="Y111" s="19"/>
      <c r="Z111" s="19"/>
    </row>
    <row r="112" spans="1:26" ht="42" customHeight="1" x14ac:dyDescent="0.3">
      <c r="A112" s="17" t="s">
        <v>326</v>
      </c>
      <c r="B112" s="33" t="s">
        <v>448</v>
      </c>
      <c r="C112" s="17" t="s">
        <v>449</v>
      </c>
      <c r="D112" s="17" t="s">
        <v>12</v>
      </c>
      <c r="E112" s="17">
        <v>1.5</v>
      </c>
      <c r="F112" s="21" t="s">
        <v>403</v>
      </c>
      <c r="G112" s="19"/>
      <c r="H112" s="19"/>
      <c r="I112" s="19"/>
      <c r="J112" s="19"/>
      <c r="K112" s="19"/>
      <c r="L112" s="19"/>
      <c r="M112" s="19"/>
      <c r="N112" s="19"/>
      <c r="O112" s="19"/>
      <c r="P112" s="19"/>
      <c r="Q112" s="19"/>
      <c r="R112" s="19"/>
      <c r="S112" s="19"/>
      <c r="T112" s="19"/>
      <c r="U112" s="19"/>
      <c r="V112" s="19"/>
      <c r="W112" s="19"/>
      <c r="X112" s="19"/>
      <c r="Y112" s="19"/>
      <c r="Z112" s="19"/>
    </row>
    <row r="113" spans="1:26" ht="42" customHeight="1" x14ac:dyDescent="0.3">
      <c r="A113" s="17" t="s">
        <v>326</v>
      </c>
      <c r="B113" s="33" t="s">
        <v>450</v>
      </c>
      <c r="C113" s="17" t="s">
        <v>451</v>
      </c>
      <c r="D113" s="17" t="s">
        <v>12</v>
      </c>
      <c r="E113" s="17">
        <v>1.5</v>
      </c>
      <c r="F113" s="21" t="s">
        <v>403</v>
      </c>
      <c r="G113" s="19"/>
      <c r="H113" s="19"/>
      <c r="I113" s="19"/>
      <c r="J113" s="19"/>
      <c r="K113" s="19"/>
      <c r="L113" s="19"/>
      <c r="M113" s="19"/>
      <c r="N113" s="19"/>
      <c r="O113" s="19"/>
      <c r="P113" s="19"/>
      <c r="Q113" s="19"/>
      <c r="R113" s="19"/>
      <c r="S113" s="19"/>
      <c r="T113" s="19"/>
      <c r="U113" s="19"/>
      <c r="V113" s="19"/>
      <c r="W113" s="19"/>
      <c r="X113" s="19"/>
      <c r="Y113" s="19"/>
      <c r="Z113" s="19"/>
    </row>
    <row r="114" spans="1:26" ht="42" customHeight="1" x14ac:dyDescent="0.3">
      <c r="A114" s="17" t="s">
        <v>329</v>
      </c>
      <c r="B114" s="33" t="s">
        <v>452</v>
      </c>
      <c r="C114" s="17" t="s">
        <v>453</v>
      </c>
      <c r="D114" s="17" t="s">
        <v>18</v>
      </c>
      <c r="E114" s="17">
        <v>1.5</v>
      </c>
      <c r="F114" s="21" t="s">
        <v>403</v>
      </c>
      <c r="G114" s="19"/>
      <c r="H114" s="19"/>
      <c r="I114" s="19"/>
      <c r="J114" s="19"/>
      <c r="K114" s="19"/>
      <c r="L114" s="19"/>
      <c r="M114" s="19"/>
      <c r="N114" s="19"/>
      <c r="O114" s="19"/>
      <c r="P114" s="19"/>
      <c r="Q114" s="19"/>
      <c r="R114" s="19"/>
      <c r="S114" s="19"/>
      <c r="T114" s="19"/>
      <c r="U114" s="19"/>
      <c r="V114" s="19"/>
      <c r="W114" s="19"/>
      <c r="X114" s="19"/>
      <c r="Y114" s="19"/>
      <c r="Z114" s="19"/>
    </row>
    <row r="115" spans="1:26" ht="42" customHeight="1" x14ac:dyDescent="0.3">
      <c r="A115" s="17" t="s">
        <v>329</v>
      </c>
      <c r="B115" s="33" t="s">
        <v>454</v>
      </c>
      <c r="C115" s="17" t="s">
        <v>455</v>
      </c>
      <c r="D115" s="17" t="s">
        <v>18</v>
      </c>
      <c r="E115" s="17">
        <v>1.5</v>
      </c>
      <c r="F115" s="41" t="s">
        <v>456</v>
      </c>
      <c r="G115" s="19"/>
      <c r="H115" s="19"/>
      <c r="I115" s="19"/>
      <c r="J115" s="19"/>
      <c r="K115" s="19"/>
      <c r="L115" s="19"/>
      <c r="M115" s="19"/>
      <c r="N115" s="19"/>
      <c r="O115" s="19"/>
      <c r="P115" s="19"/>
      <c r="Q115" s="19"/>
      <c r="R115" s="19"/>
      <c r="S115" s="19"/>
      <c r="T115" s="19"/>
      <c r="U115" s="19"/>
      <c r="V115" s="19"/>
      <c r="W115" s="19"/>
      <c r="X115" s="19"/>
      <c r="Y115" s="19"/>
      <c r="Z115" s="19"/>
    </row>
    <row r="116" spans="1:26" ht="42" customHeight="1" x14ac:dyDescent="0.3">
      <c r="A116" s="17" t="s">
        <v>329</v>
      </c>
      <c r="B116" s="33" t="s">
        <v>457</v>
      </c>
      <c r="C116" s="17" t="s">
        <v>458</v>
      </c>
      <c r="D116" s="17" t="s">
        <v>18</v>
      </c>
      <c r="E116" s="17">
        <v>1.5</v>
      </c>
      <c r="F116" s="21" t="s">
        <v>403</v>
      </c>
      <c r="G116" s="19"/>
      <c r="H116" s="19"/>
      <c r="I116" s="19"/>
      <c r="J116" s="19"/>
      <c r="K116" s="19"/>
      <c r="L116" s="19"/>
      <c r="M116" s="19"/>
      <c r="N116" s="19"/>
      <c r="O116" s="19"/>
      <c r="P116" s="19"/>
      <c r="Q116" s="19"/>
      <c r="R116" s="19"/>
      <c r="S116" s="19"/>
      <c r="T116" s="19"/>
      <c r="U116" s="19"/>
      <c r="V116" s="19"/>
      <c r="W116" s="19"/>
      <c r="X116" s="19"/>
      <c r="Y116" s="19"/>
      <c r="Z116" s="19"/>
    </row>
    <row r="117" spans="1:26" ht="42" customHeight="1" x14ac:dyDescent="0.3">
      <c r="A117" s="17" t="s">
        <v>332</v>
      </c>
      <c r="B117" s="33" t="s">
        <v>459</v>
      </c>
      <c r="C117" s="17" t="s">
        <v>460</v>
      </c>
      <c r="D117" s="17" t="s">
        <v>9</v>
      </c>
      <c r="E117" s="17">
        <v>1.5</v>
      </c>
      <c r="F117" s="21" t="s">
        <v>403</v>
      </c>
      <c r="G117" s="19"/>
      <c r="H117" s="19"/>
      <c r="I117" s="19"/>
      <c r="J117" s="19"/>
      <c r="K117" s="19"/>
      <c r="L117" s="19"/>
      <c r="M117" s="19"/>
      <c r="N117" s="19"/>
      <c r="O117" s="19"/>
      <c r="P117" s="19"/>
      <c r="Q117" s="19"/>
      <c r="R117" s="19"/>
      <c r="S117" s="19"/>
      <c r="T117" s="19"/>
      <c r="U117" s="19"/>
      <c r="V117" s="19"/>
      <c r="W117" s="19"/>
      <c r="X117" s="19"/>
      <c r="Y117" s="19"/>
      <c r="Z117" s="19"/>
    </row>
    <row r="118" spans="1:26" ht="42" customHeight="1" x14ac:dyDescent="0.3">
      <c r="A118" s="17" t="s">
        <v>332</v>
      </c>
      <c r="B118" s="33" t="s">
        <v>461</v>
      </c>
      <c r="C118" s="17" t="s">
        <v>462</v>
      </c>
      <c r="D118" s="17" t="s">
        <v>9</v>
      </c>
      <c r="E118" s="17">
        <v>1.5</v>
      </c>
      <c r="F118" s="21" t="s">
        <v>403</v>
      </c>
      <c r="G118" s="19"/>
      <c r="H118" s="19"/>
      <c r="I118" s="19"/>
      <c r="J118" s="19"/>
      <c r="K118" s="19"/>
      <c r="L118" s="19"/>
      <c r="M118" s="19"/>
      <c r="N118" s="19"/>
      <c r="O118" s="19"/>
      <c r="P118" s="19"/>
      <c r="Q118" s="19"/>
      <c r="R118" s="19"/>
      <c r="S118" s="19"/>
      <c r="T118" s="19"/>
      <c r="U118" s="19"/>
      <c r="V118" s="19"/>
      <c r="W118" s="19"/>
      <c r="X118" s="19"/>
      <c r="Y118" s="19"/>
      <c r="Z118" s="19"/>
    </row>
    <row r="119" spans="1:26" ht="42" customHeight="1" x14ac:dyDescent="0.3">
      <c r="A119" s="17" t="s">
        <v>332</v>
      </c>
      <c r="B119" s="33" t="s">
        <v>463</v>
      </c>
      <c r="C119" s="17" t="s">
        <v>464</v>
      </c>
      <c r="D119" s="17" t="s">
        <v>9</v>
      </c>
      <c r="E119" s="17">
        <v>1.5</v>
      </c>
      <c r="F119" s="21" t="s">
        <v>403</v>
      </c>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27" t="s">
        <v>248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6" t="s">
        <v>190</v>
      </c>
      <c r="B122" s="16" t="s">
        <v>29</v>
      </c>
      <c r="C122" s="16" t="s">
        <v>191</v>
      </c>
      <c r="D122" s="16" t="s">
        <v>27</v>
      </c>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7" t="s">
        <v>465</v>
      </c>
      <c r="B123" s="17" t="s">
        <v>12</v>
      </c>
      <c r="C123" s="17">
        <v>2</v>
      </c>
      <c r="D123" s="21" t="s">
        <v>34</v>
      </c>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7" t="s">
        <v>250</v>
      </c>
      <c r="B124" s="17" t="s">
        <v>12</v>
      </c>
      <c r="C124" s="17">
        <v>3</v>
      </c>
      <c r="D124" s="21" t="s">
        <v>34</v>
      </c>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7" t="s">
        <v>466</v>
      </c>
      <c r="B125" s="17" t="s">
        <v>12</v>
      </c>
      <c r="C125" s="17">
        <v>1</v>
      </c>
      <c r="D125" s="21" t="s">
        <v>34</v>
      </c>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7" t="s">
        <v>467</v>
      </c>
      <c r="B126" s="17" t="s">
        <v>12</v>
      </c>
      <c r="C126" s="17">
        <v>2</v>
      </c>
      <c r="D126" s="21" t="s">
        <v>34</v>
      </c>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35"/>
      <c r="B128" s="36" t="s">
        <v>252</v>
      </c>
      <c r="C128" s="35"/>
      <c r="D128" s="35"/>
      <c r="E128" s="36">
        <f>SUM(E26:E72)</f>
        <v>104</v>
      </c>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35"/>
      <c r="B129" s="36" t="s">
        <v>253</v>
      </c>
      <c r="C129" s="35"/>
      <c r="D129" s="35"/>
      <c r="E129" s="36">
        <f>SUM(E88:E119)</f>
        <v>48</v>
      </c>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36" t="s">
        <v>254</v>
      </c>
      <c r="B130" s="35"/>
      <c r="C130" s="36">
        <f>SUM(C123:C126)</f>
        <v>8</v>
      </c>
      <c r="D130" s="35"/>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x14ac:dyDescent="0.3">
      <c r="A331" s="19"/>
      <c r="B331" s="19"/>
      <c r="C331" s="19"/>
      <c r="D331" s="19"/>
      <c r="E331" s="19"/>
      <c r="F331" s="19"/>
    </row>
    <row r="332" spans="1:26" ht="15.75" customHeight="1" x14ac:dyDescent="0.3">
      <c r="A332" s="19"/>
      <c r="B332" s="19"/>
      <c r="C332" s="19"/>
      <c r="D332" s="19"/>
      <c r="E332" s="19"/>
      <c r="F332" s="19"/>
    </row>
    <row r="333" spans="1:26" ht="15.75" customHeight="1" x14ac:dyDescent="0.3">
      <c r="A333" s="19"/>
      <c r="B333" s="19"/>
      <c r="C333" s="19"/>
      <c r="D333" s="19"/>
      <c r="E333" s="19"/>
      <c r="F333" s="19"/>
    </row>
    <row r="334" spans="1:26" ht="15.75" customHeight="1" x14ac:dyDescent="0.3">
      <c r="A334" s="19"/>
      <c r="B334" s="19"/>
      <c r="C334" s="19"/>
      <c r="D334" s="19"/>
      <c r="E334" s="19"/>
      <c r="F334" s="19"/>
    </row>
    <row r="335" spans="1:26" ht="15.75" customHeight="1" x14ac:dyDescent="0.3">
      <c r="A335" s="19"/>
      <c r="B335" s="19"/>
      <c r="C335" s="19"/>
      <c r="D335" s="19"/>
      <c r="E335" s="19"/>
      <c r="F335" s="19"/>
    </row>
    <row r="336" spans="1:26" ht="15.75" customHeight="1" x14ac:dyDescent="0.3">
      <c r="A336" s="19"/>
      <c r="B336" s="19"/>
      <c r="C336" s="19"/>
      <c r="D336" s="19"/>
      <c r="E336" s="19"/>
      <c r="F336" s="19"/>
    </row>
    <row r="337" spans="1:6" ht="15.75" customHeight="1" x14ac:dyDescent="0.3">
      <c r="A337" s="19"/>
      <c r="B337" s="19"/>
      <c r="C337" s="19"/>
      <c r="D337" s="19"/>
      <c r="E337" s="19"/>
      <c r="F337" s="19"/>
    </row>
    <row r="338" spans="1:6" ht="15.75" customHeight="1" x14ac:dyDescent="0.3">
      <c r="A338" s="19"/>
      <c r="B338" s="19"/>
      <c r="C338" s="19"/>
      <c r="D338" s="19"/>
      <c r="E338" s="19"/>
      <c r="F338" s="19"/>
    </row>
    <row r="339" spans="1:6" ht="15.75" customHeight="1" x14ac:dyDescent="0.3">
      <c r="A339" s="19"/>
      <c r="B339" s="19"/>
      <c r="C339" s="19"/>
      <c r="D339" s="19"/>
      <c r="E339" s="19"/>
      <c r="F339" s="19"/>
    </row>
    <row r="340" spans="1:6" ht="15.75" customHeight="1" x14ac:dyDescent="0.3">
      <c r="A340" s="19"/>
      <c r="B340" s="19"/>
      <c r="C340" s="19"/>
      <c r="D340" s="19"/>
      <c r="E340" s="19"/>
      <c r="F340" s="19"/>
    </row>
    <row r="341" spans="1:6" ht="15.75" customHeight="1" x14ac:dyDescent="0.3">
      <c r="A341" s="19"/>
      <c r="B341" s="19"/>
      <c r="C341" s="19"/>
      <c r="D341" s="19"/>
      <c r="E341" s="19"/>
      <c r="F341" s="19"/>
    </row>
    <row r="342" spans="1:6" ht="15.75" customHeight="1" x14ac:dyDescent="0.3">
      <c r="A342" s="19"/>
      <c r="B342" s="19"/>
      <c r="C342" s="19"/>
      <c r="D342" s="19"/>
      <c r="E342" s="19"/>
      <c r="F342" s="19"/>
    </row>
    <row r="343" spans="1:6" ht="15.75" customHeight="1" x14ac:dyDescent="0.3">
      <c r="A343" s="19"/>
      <c r="B343" s="19"/>
      <c r="C343" s="19"/>
      <c r="D343" s="19"/>
      <c r="E343" s="19"/>
      <c r="F343" s="19"/>
    </row>
    <row r="344" spans="1:6" ht="15.75" customHeight="1" x14ac:dyDescent="0.3">
      <c r="A344" s="19"/>
      <c r="B344" s="19"/>
      <c r="C344" s="19"/>
      <c r="D344" s="19"/>
      <c r="E344" s="19"/>
      <c r="F344" s="19"/>
    </row>
    <row r="345" spans="1:6" ht="15.75" customHeight="1" x14ac:dyDescent="0.3">
      <c r="A345" s="19"/>
      <c r="B345" s="19"/>
      <c r="C345" s="19"/>
      <c r="D345" s="19"/>
      <c r="E345" s="19"/>
      <c r="F345" s="19"/>
    </row>
    <row r="346" spans="1:6" ht="15.75" customHeight="1" x14ac:dyDescent="0.3">
      <c r="A346" s="19"/>
      <c r="B346" s="19"/>
      <c r="C346" s="19"/>
      <c r="D346" s="19"/>
      <c r="E346" s="19"/>
      <c r="F346" s="19"/>
    </row>
    <row r="347" spans="1:6" ht="15.75" customHeight="1" x14ac:dyDescent="0.3">
      <c r="A347" s="19"/>
      <c r="B347" s="19"/>
      <c r="C347" s="19"/>
      <c r="D347" s="19"/>
      <c r="E347" s="19"/>
      <c r="F347" s="19"/>
    </row>
    <row r="348" spans="1:6" ht="15.75" customHeight="1" x14ac:dyDescent="0.3">
      <c r="A348" s="19"/>
      <c r="B348" s="19"/>
      <c r="C348" s="19"/>
      <c r="D348" s="19"/>
      <c r="E348" s="19"/>
      <c r="F348" s="19"/>
    </row>
    <row r="349" spans="1:6" ht="15.75" customHeight="1" x14ac:dyDescent="0.3">
      <c r="A349" s="19"/>
      <c r="B349" s="19"/>
      <c r="C349" s="19"/>
      <c r="D349" s="19"/>
      <c r="E349" s="19"/>
      <c r="F349" s="19"/>
    </row>
    <row r="350" spans="1:6" ht="15.75" customHeight="1" x14ac:dyDescent="0.3">
      <c r="A350" s="19"/>
      <c r="B350" s="19"/>
      <c r="C350" s="19"/>
      <c r="D350" s="19"/>
      <c r="E350" s="19"/>
      <c r="F350" s="19"/>
    </row>
    <row r="351" spans="1:6" ht="15.75" customHeight="1" x14ac:dyDescent="0.3">
      <c r="A351" s="19"/>
      <c r="B351" s="19"/>
      <c r="C351" s="19"/>
      <c r="D351" s="19"/>
      <c r="E351" s="19"/>
      <c r="F351" s="19"/>
    </row>
    <row r="352" spans="1:6" ht="15.75" customHeight="1" x14ac:dyDescent="0.3">
      <c r="A352" s="19"/>
      <c r="B352" s="19"/>
      <c r="C352" s="19"/>
      <c r="D352" s="19"/>
      <c r="E352" s="19"/>
      <c r="F352" s="19"/>
    </row>
    <row r="353" spans="1:6" ht="15.75" customHeight="1" x14ac:dyDescent="0.3">
      <c r="A353" s="19"/>
      <c r="B353" s="19"/>
      <c r="C353" s="19"/>
      <c r="D353" s="19"/>
      <c r="E353" s="19"/>
      <c r="F353" s="19"/>
    </row>
    <row r="354" spans="1:6" ht="15.75" customHeight="1" x14ac:dyDescent="0.3">
      <c r="A354" s="19"/>
      <c r="B354" s="19"/>
      <c r="C354" s="19"/>
      <c r="D354" s="19"/>
      <c r="E354" s="19"/>
      <c r="F354" s="19"/>
    </row>
    <row r="355" spans="1:6" ht="15.75" customHeight="1" x14ac:dyDescent="0.3">
      <c r="A355" s="19"/>
      <c r="B355" s="19"/>
      <c r="C355" s="19"/>
      <c r="D355" s="19"/>
      <c r="E355" s="19"/>
      <c r="F355" s="19"/>
    </row>
    <row r="356" spans="1:6" ht="15.75" customHeight="1" x14ac:dyDescent="0.3">
      <c r="A356" s="19"/>
      <c r="B356" s="19"/>
      <c r="C356" s="19"/>
      <c r="D356" s="19"/>
      <c r="E356" s="19"/>
      <c r="F356" s="19"/>
    </row>
    <row r="357" spans="1:6" ht="15.75" customHeight="1" x14ac:dyDescent="0.3">
      <c r="A357" s="19"/>
      <c r="B357" s="19"/>
      <c r="C357" s="19"/>
      <c r="D357" s="19"/>
      <c r="E357" s="19"/>
      <c r="F357" s="19"/>
    </row>
    <row r="358" spans="1:6" ht="15.75" customHeight="1" x14ac:dyDescent="0.3">
      <c r="A358" s="19"/>
      <c r="B358" s="19"/>
      <c r="C358" s="19"/>
      <c r="D358" s="19"/>
      <c r="E358" s="19"/>
      <c r="F358" s="19"/>
    </row>
    <row r="359" spans="1:6" ht="15.75" customHeight="1" x14ac:dyDescent="0.3">
      <c r="A359" s="19"/>
      <c r="B359" s="19"/>
      <c r="C359" s="19"/>
      <c r="D359" s="19"/>
      <c r="E359" s="19"/>
      <c r="F359" s="19"/>
    </row>
    <row r="360" spans="1:6" ht="15.75" customHeight="1" x14ac:dyDescent="0.3">
      <c r="A360" s="19"/>
      <c r="B360" s="19"/>
      <c r="C360" s="19"/>
      <c r="D360" s="19"/>
      <c r="E360" s="19"/>
      <c r="F360" s="19"/>
    </row>
    <row r="361" spans="1:6" ht="15.75" customHeight="1" x14ac:dyDescent="0.3">
      <c r="A361" s="19"/>
      <c r="B361" s="19"/>
      <c r="C361" s="19"/>
      <c r="D361" s="19"/>
      <c r="E361" s="19"/>
      <c r="F361" s="19"/>
    </row>
    <row r="362" spans="1:6" ht="15.75" customHeight="1" x14ac:dyDescent="0.3">
      <c r="A362" s="19"/>
      <c r="B362" s="19"/>
      <c r="C362" s="19"/>
      <c r="D362" s="19"/>
      <c r="E362" s="19"/>
      <c r="F362" s="19"/>
    </row>
    <row r="363" spans="1:6" ht="15.75" customHeight="1" x14ac:dyDescent="0.3">
      <c r="A363" s="19"/>
      <c r="B363" s="19"/>
      <c r="C363" s="19"/>
      <c r="D363" s="19"/>
      <c r="E363" s="19"/>
      <c r="F363" s="19"/>
    </row>
    <row r="364" spans="1:6" ht="15.75" customHeight="1" x14ac:dyDescent="0.3">
      <c r="A364" s="19"/>
      <c r="B364" s="19"/>
      <c r="C364" s="19"/>
      <c r="D364" s="19"/>
      <c r="E364" s="19"/>
      <c r="F364" s="19"/>
    </row>
    <row r="365" spans="1:6" ht="15.75" customHeight="1" x14ac:dyDescent="0.3">
      <c r="A365" s="19"/>
      <c r="B365" s="19"/>
      <c r="C365" s="19"/>
      <c r="D365" s="19"/>
      <c r="E365" s="19"/>
      <c r="F365" s="19"/>
    </row>
    <row r="366" spans="1:6" ht="15.75" customHeight="1" x14ac:dyDescent="0.3">
      <c r="A366" s="19"/>
      <c r="B366" s="19"/>
      <c r="C366" s="19"/>
      <c r="D366" s="19"/>
      <c r="E366" s="19"/>
      <c r="F366" s="19"/>
    </row>
    <row r="367" spans="1:6" ht="15.75" customHeight="1" x14ac:dyDescent="0.3">
      <c r="A367" s="19"/>
      <c r="B367" s="19"/>
      <c r="C367" s="19"/>
      <c r="D367" s="19"/>
      <c r="E367" s="19"/>
      <c r="F367" s="19"/>
    </row>
    <row r="368" spans="1:6" ht="15.75" customHeight="1" x14ac:dyDescent="0.3">
      <c r="A368" s="19"/>
      <c r="B368" s="19"/>
      <c r="C368" s="19"/>
      <c r="D368" s="19"/>
      <c r="E368" s="19"/>
      <c r="F368" s="19"/>
    </row>
    <row r="369" spans="1:6" ht="15.75" customHeight="1" x14ac:dyDescent="0.3">
      <c r="A369" s="19"/>
      <c r="B369" s="19"/>
      <c r="C369" s="19"/>
      <c r="D369" s="19"/>
      <c r="E369" s="19"/>
      <c r="F369" s="19"/>
    </row>
    <row r="370" spans="1:6" ht="15.75" customHeight="1" x14ac:dyDescent="0.3">
      <c r="A370" s="19"/>
      <c r="B370" s="19"/>
      <c r="C370" s="19"/>
      <c r="D370" s="19"/>
      <c r="E370" s="19"/>
      <c r="F370" s="19"/>
    </row>
    <row r="371" spans="1:6" ht="15.75" customHeight="1" x14ac:dyDescent="0.3">
      <c r="A371" s="19"/>
      <c r="B371" s="19"/>
      <c r="C371" s="19"/>
      <c r="D371" s="19"/>
      <c r="E371" s="19"/>
      <c r="F371" s="19"/>
    </row>
    <row r="372" spans="1:6" ht="15.75" customHeight="1" x14ac:dyDescent="0.3">
      <c r="A372" s="19"/>
      <c r="B372" s="19"/>
      <c r="C372" s="19"/>
      <c r="D372" s="19"/>
      <c r="E372" s="19"/>
      <c r="F372" s="19"/>
    </row>
    <row r="373" spans="1:6" ht="15.75" customHeight="1" x14ac:dyDescent="0.3">
      <c r="A373" s="19"/>
      <c r="B373" s="19"/>
      <c r="C373" s="19"/>
      <c r="D373" s="19"/>
      <c r="E373" s="19"/>
      <c r="F373" s="19"/>
    </row>
    <row r="374" spans="1:6" ht="15.75" customHeight="1" x14ac:dyDescent="0.3">
      <c r="A374" s="19"/>
      <c r="B374" s="19"/>
      <c r="C374" s="19"/>
      <c r="D374" s="19"/>
      <c r="E374" s="19"/>
      <c r="F374" s="19"/>
    </row>
    <row r="375" spans="1:6" ht="15.75" customHeight="1" x14ac:dyDescent="0.3">
      <c r="A375" s="19"/>
      <c r="B375" s="19"/>
      <c r="C375" s="19"/>
      <c r="D375" s="19"/>
      <c r="E375" s="19"/>
      <c r="F375" s="19"/>
    </row>
    <row r="376" spans="1:6" ht="15.75" customHeight="1" x14ac:dyDescent="0.3">
      <c r="A376" s="19"/>
      <c r="B376" s="19"/>
      <c r="C376" s="19"/>
      <c r="D376" s="19"/>
      <c r="E376" s="19"/>
      <c r="F376" s="19"/>
    </row>
    <row r="377" spans="1:6" ht="15.75" customHeight="1" x14ac:dyDescent="0.3">
      <c r="A377" s="19"/>
      <c r="B377" s="19"/>
      <c r="C377" s="19"/>
      <c r="D377" s="19"/>
      <c r="E377" s="19"/>
      <c r="F377" s="19"/>
    </row>
    <row r="378" spans="1:6" ht="15.75" customHeight="1" x14ac:dyDescent="0.3">
      <c r="A378" s="19"/>
      <c r="B378" s="19"/>
      <c r="C378" s="19"/>
      <c r="D378" s="19"/>
      <c r="E378" s="19"/>
      <c r="F378" s="19"/>
    </row>
    <row r="379" spans="1:6" ht="15.75" customHeight="1" x14ac:dyDescent="0.3">
      <c r="A379" s="19"/>
      <c r="B379" s="19"/>
      <c r="C379" s="19"/>
      <c r="D379" s="19"/>
      <c r="E379" s="19"/>
      <c r="F379" s="19"/>
    </row>
    <row r="380" spans="1:6" ht="15.75" customHeight="1" x14ac:dyDescent="0.3">
      <c r="A380" s="19"/>
      <c r="B380" s="19"/>
      <c r="C380" s="19"/>
      <c r="D380" s="19"/>
      <c r="E380" s="19"/>
      <c r="F380" s="19"/>
    </row>
    <row r="381" spans="1:6" ht="15.75" customHeight="1" x14ac:dyDescent="0.3">
      <c r="A381" s="19"/>
      <c r="B381" s="19"/>
      <c r="C381" s="19"/>
      <c r="D381" s="19"/>
      <c r="E381" s="19"/>
      <c r="F381" s="19"/>
    </row>
    <row r="382" spans="1:6" ht="15.75" customHeight="1" x14ac:dyDescent="0.3">
      <c r="A382" s="19"/>
      <c r="B382" s="19"/>
      <c r="C382" s="19"/>
      <c r="D382" s="19"/>
      <c r="E382" s="19"/>
      <c r="F382" s="19"/>
    </row>
    <row r="383" spans="1:6" ht="15.75" customHeight="1" x14ac:dyDescent="0.3">
      <c r="A383" s="19"/>
      <c r="B383" s="19"/>
      <c r="C383" s="19"/>
      <c r="D383" s="19"/>
      <c r="E383" s="19"/>
      <c r="F383" s="19"/>
    </row>
    <row r="384" spans="1:6" ht="15.75" customHeight="1" x14ac:dyDescent="0.3">
      <c r="A384" s="19"/>
      <c r="B384" s="19"/>
      <c r="C384" s="19"/>
      <c r="D384" s="19"/>
      <c r="E384" s="19"/>
      <c r="F384" s="19"/>
    </row>
    <row r="385" spans="1:6" ht="15.75" customHeight="1" x14ac:dyDescent="0.3">
      <c r="A385" s="19"/>
      <c r="B385" s="19"/>
      <c r="C385" s="19"/>
      <c r="D385" s="19"/>
      <c r="E385" s="19"/>
      <c r="F385" s="19"/>
    </row>
    <row r="386" spans="1:6" ht="15.75" customHeight="1" x14ac:dyDescent="0.3">
      <c r="A386" s="19"/>
      <c r="B386" s="19"/>
      <c r="C386" s="19"/>
      <c r="D386" s="19"/>
      <c r="E386" s="19"/>
      <c r="F386" s="19"/>
    </row>
    <row r="387" spans="1:6" ht="15.75" customHeight="1" x14ac:dyDescent="0.3">
      <c r="A387" s="19"/>
      <c r="B387" s="19"/>
      <c r="C387" s="19"/>
      <c r="D387" s="19"/>
      <c r="E387" s="19"/>
      <c r="F387" s="19"/>
    </row>
    <row r="388" spans="1:6" ht="15.75" customHeight="1" x14ac:dyDescent="0.3">
      <c r="A388" s="19"/>
      <c r="B388" s="19"/>
      <c r="C388" s="19"/>
      <c r="D388" s="19"/>
      <c r="E388" s="19"/>
      <c r="F388" s="19"/>
    </row>
    <row r="389" spans="1:6" ht="15.75" customHeight="1" x14ac:dyDescent="0.3">
      <c r="A389" s="19"/>
      <c r="B389" s="19"/>
      <c r="C389" s="19"/>
      <c r="D389" s="19"/>
      <c r="E389" s="19"/>
      <c r="F389" s="19"/>
    </row>
    <row r="390" spans="1:6" ht="15.75" customHeight="1" x14ac:dyDescent="0.3">
      <c r="A390" s="19"/>
      <c r="B390" s="19"/>
      <c r="C390" s="19"/>
      <c r="D390" s="19"/>
      <c r="E390" s="19"/>
      <c r="F390" s="19"/>
    </row>
    <row r="391" spans="1:6" ht="15.75" customHeight="1" x14ac:dyDescent="0.3">
      <c r="A391" s="19"/>
      <c r="B391" s="19"/>
      <c r="C391" s="19"/>
      <c r="D391" s="19"/>
      <c r="E391" s="19"/>
      <c r="F391" s="19"/>
    </row>
    <row r="392" spans="1:6" ht="15.75" customHeight="1" x14ac:dyDescent="0.3">
      <c r="A392" s="19"/>
      <c r="B392" s="19"/>
      <c r="C392" s="19"/>
      <c r="D392" s="19"/>
      <c r="E392" s="19"/>
      <c r="F392" s="19"/>
    </row>
    <row r="393" spans="1:6" ht="15.75" customHeight="1" x14ac:dyDescent="0.3">
      <c r="A393" s="19"/>
      <c r="B393" s="19"/>
      <c r="C393" s="19"/>
      <c r="D393" s="19"/>
      <c r="E393" s="19"/>
      <c r="F393" s="19"/>
    </row>
    <row r="394" spans="1:6" ht="15.75" customHeight="1" x14ac:dyDescent="0.3">
      <c r="A394" s="19"/>
      <c r="B394" s="19"/>
      <c r="C394" s="19"/>
      <c r="D394" s="19"/>
      <c r="E394" s="19"/>
      <c r="F394" s="19"/>
    </row>
    <row r="395" spans="1:6" ht="15.75" customHeight="1" x14ac:dyDescent="0.3">
      <c r="A395" s="19"/>
      <c r="B395" s="19"/>
      <c r="C395" s="19"/>
      <c r="D395" s="19"/>
      <c r="E395" s="19"/>
      <c r="F395" s="19"/>
    </row>
    <row r="396" spans="1:6" ht="15.75" customHeight="1" x14ac:dyDescent="0.3">
      <c r="A396" s="19"/>
      <c r="B396" s="19"/>
      <c r="C396" s="19"/>
      <c r="D396" s="19"/>
      <c r="E396" s="19"/>
      <c r="F396" s="19"/>
    </row>
    <row r="397" spans="1:6" ht="15.75" customHeight="1" x14ac:dyDescent="0.3">
      <c r="A397" s="19"/>
      <c r="B397" s="19"/>
      <c r="C397" s="19"/>
      <c r="D397" s="19"/>
      <c r="E397" s="19"/>
      <c r="F397" s="19"/>
    </row>
    <row r="398" spans="1:6" ht="15.75" customHeight="1" x14ac:dyDescent="0.3">
      <c r="A398" s="19"/>
      <c r="B398" s="19"/>
      <c r="C398" s="19"/>
      <c r="D398" s="19"/>
      <c r="E398" s="19"/>
      <c r="F398" s="19"/>
    </row>
    <row r="399" spans="1:6" ht="15.75" customHeight="1" x14ac:dyDescent="0.3">
      <c r="A399" s="19"/>
      <c r="B399" s="19"/>
      <c r="C399" s="19"/>
      <c r="D399" s="19"/>
      <c r="E399" s="19"/>
      <c r="F399" s="19"/>
    </row>
    <row r="400" spans="1:6" ht="15.75" customHeight="1" x14ac:dyDescent="0.3">
      <c r="A400" s="19"/>
      <c r="B400" s="19"/>
      <c r="C400" s="19"/>
      <c r="D400" s="19"/>
      <c r="E400" s="19"/>
      <c r="F400" s="19"/>
    </row>
    <row r="401" spans="1:6" ht="15.75" customHeight="1" x14ac:dyDescent="0.3">
      <c r="A401" s="19"/>
      <c r="B401" s="19"/>
      <c r="C401" s="19"/>
      <c r="D401" s="19"/>
      <c r="E401" s="19"/>
      <c r="F401" s="19"/>
    </row>
    <row r="402" spans="1:6" ht="15.75" customHeight="1" x14ac:dyDescent="0.3">
      <c r="A402" s="19"/>
      <c r="B402" s="19"/>
      <c r="C402" s="19"/>
      <c r="D402" s="19"/>
      <c r="E402" s="19"/>
      <c r="F402" s="19"/>
    </row>
    <row r="403" spans="1:6" ht="15.75" customHeight="1" x14ac:dyDescent="0.3">
      <c r="A403" s="19"/>
      <c r="B403" s="19"/>
      <c r="C403" s="19"/>
      <c r="D403" s="19"/>
      <c r="E403" s="19"/>
      <c r="F403" s="19"/>
    </row>
    <row r="404" spans="1:6" ht="15.75" customHeight="1" x14ac:dyDescent="0.3">
      <c r="A404" s="19"/>
      <c r="B404" s="19"/>
      <c r="C404" s="19"/>
      <c r="D404" s="19"/>
      <c r="E404" s="19"/>
      <c r="F404" s="19"/>
    </row>
    <row r="405" spans="1:6" ht="15.75" customHeight="1" x14ac:dyDescent="0.3">
      <c r="A405" s="19"/>
      <c r="B405" s="19"/>
      <c r="C405" s="19"/>
      <c r="D405" s="19"/>
      <c r="E405" s="19"/>
      <c r="F405" s="19"/>
    </row>
    <row r="406" spans="1:6" ht="15.75" customHeight="1" x14ac:dyDescent="0.3">
      <c r="A406" s="19"/>
      <c r="B406" s="19"/>
      <c r="C406" s="19"/>
      <c r="D406" s="19"/>
      <c r="E406" s="19"/>
      <c r="F406" s="19"/>
    </row>
    <row r="407" spans="1:6" ht="15.75" customHeight="1" x14ac:dyDescent="0.3">
      <c r="A407" s="19"/>
      <c r="B407" s="19"/>
      <c r="C407" s="19"/>
      <c r="D407" s="19"/>
      <c r="E407" s="19"/>
      <c r="F407" s="19"/>
    </row>
    <row r="408" spans="1:6" ht="15.75" customHeight="1" x14ac:dyDescent="0.3">
      <c r="A408" s="19"/>
      <c r="B408" s="19"/>
      <c r="C408" s="19"/>
      <c r="D408" s="19"/>
      <c r="E408" s="19"/>
      <c r="F408" s="19"/>
    </row>
    <row r="409" spans="1:6" ht="15.75" customHeight="1" x14ac:dyDescent="0.3">
      <c r="A409" s="19"/>
      <c r="B409" s="19"/>
      <c r="C409" s="19"/>
      <c r="D409" s="19"/>
      <c r="E409" s="19"/>
      <c r="F409" s="19"/>
    </row>
    <row r="410" spans="1:6" ht="15.75" customHeight="1" x14ac:dyDescent="0.3">
      <c r="A410" s="19"/>
      <c r="B410" s="19"/>
      <c r="C410" s="19"/>
      <c r="D410" s="19"/>
      <c r="E410" s="19"/>
      <c r="F410" s="19"/>
    </row>
    <row r="411" spans="1:6" ht="15.75" customHeight="1" x14ac:dyDescent="0.3">
      <c r="A411" s="19"/>
      <c r="B411" s="19"/>
      <c r="C411" s="19"/>
      <c r="D411" s="19"/>
      <c r="E411" s="19"/>
      <c r="F411" s="19"/>
    </row>
    <row r="412" spans="1:6" ht="15.75" customHeight="1" x14ac:dyDescent="0.3">
      <c r="A412" s="19"/>
      <c r="B412" s="19"/>
      <c r="C412" s="19"/>
      <c r="D412" s="19"/>
      <c r="E412" s="19"/>
      <c r="F412" s="19"/>
    </row>
    <row r="413" spans="1:6" ht="15.75" customHeight="1" x14ac:dyDescent="0.3">
      <c r="A413" s="19"/>
      <c r="B413" s="19"/>
      <c r="C413" s="19"/>
      <c r="D413" s="19"/>
      <c r="E413" s="19"/>
      <c r="F413" s="19"/>
    </row>
    <row r="414" spans="1:6" ht="15.75" customHeight="1" x14ac:dyDescent="0.3">
      <c r="A414" s="19"/>
      <c r="B414" s="19"/>
      <c r="C414" s="19"/>
      <c r="D414" s="19"/>
      <c r="E414" s="19"/>
      <c r="F414" s="19"/>
    </row>
    <row r="415" spans="1:6" ht="15.75" customHeight="1" x14ac:dyDescent="0.3">
      <c r="A415" s="19"/>
      <c r="B415" s="19"/>
      <c r="C415" s="19"/>
      <c r="D415" s="19"/>
      <c r="E415" s="19"/>
      <c r="F415" s="19"/>
    </row>
    <row r="416" spans="1:6" ht="15.75" customHeight="1" x14ac:dyDescent="0.3">
      <c r="A416" s="19"/>
      <c r="B416" s="19"/>
      <c r="C416" s="19"/>
      <c r="D416" s="19"/>
      <c r="E416" s="19"/>
      <c r="F416" s="19"/>
    </row>
    <row r="417" spans="1:6" ht="15.75" customHeight="1" x14ac:dyDescent="0.3">
      <c r="A417" s="19"/>
      <c r="B417" s="19"/>
      <c r="C417" s="19"/>
      <c r="D417" s="19"/>
      <c r="E417" s="19"/>
      <c r="F417" s="19"/>
    </row>
    <row r="418" spans="1:6" ht="15.75" customHeight="1" x14ac:dyDescent="0.3">
      <c r="A418" s="19"/>
      <c r="B418" s="19"/>
      <c r="C418" s="19"/>
      <c r="D418" s="19"/>
      <c r="E418" s="19"/>
      <c r="F418" s="19"/>
    </row>
    <row r="419" spans="1:6" ht="15.75" customHeight="1" x14ac:dyDescent="0.3">
      <c r="A419" s="19"/>
      <c r="B419" s="19"/>
      <c r="C419" s="19"/>
      <c r="D419" s="19"/>
      <c r="E419" s="19"/>
      <c r="F419" s="19"/>
    </row>
    <row r="420" spans="1:6" ht="15.75" customHeight="1" x14ac:dyDescent="0.3">
      <c r="A420" s="19"/>
      <c r="B420" s="19"/>
      <c r="C420" s="19"/>
      <c r="D420" s="19"/>
      <c r="E420" s="19"/>
      <c r="F420" s="19"/>
    </row>
    <row r="421" spans="1:6" ht="15.75" customHeight="1" x14ac:dyDescent="0.3">
      <c r="A421" s="19"/>
      <c r="B421" s="19"/>
      <c r="C421" s="19"/>
      <c r="D421" s="19"/>
      <c r="E421" s="19"/>
      <c r="F421" s="19"/>
    </row>
    <row r="422" spans="1:6" ht="15.75" customHeight="1" x14ac:dyDescent="0.3">
      <c r="A422" s="19"/>
      <c r="B422" s="19"/>
      <c r="C422" s="19"/>
      <c r="D422" s="19"/>
      <c r="E422" s="19"/>
      <c r="F422" s="19"/>
    </row>
    <row r="423" spans="1:6" ht="15.75" customHeight="1" x14ac:dyDescent="0.3">
      <c r="A423" s="19"/>
      <c r="B423" s="19"/>
      <c r="C423" s="19"/>
      <c r="D423" s="19"/>
      <c r="E423" s="19"/>
      <c r="F423" s="19"/>
    </row>
    <row r="424" spans="1:6" ht="15.75" customHeight="1" x14ac:dyDescent="0.3">
      <c r="A424" s="19"/>
      <c r="B424" s="19"/>
      <c r="C424" s="19"/>
      <c r="D424" s="19"/>
      <c r="E424" s="19"/>
      <c r="F424" s="19"/>
    </row>
    <row r="425" spans="1:6" ht="15.75" customHeight="1" x14ac:dyDescent="0.3">
      <c r="A425" s="19"/>
      <c r="B425" s="19"/>
      <c r="C425" s="19"/>
      <c r="D425" s="19"/>
      <c r="E425" s="19"/>
      <c r="F425" s="19"/>
    </row>
    <row r="426" spans="1:6" ht="15.75" customHeight="1" x14ac:dyDescent="0.3">
      <c r="A426" s="19"/>
      <c r="B426" s="19"/>
      <c r="C426" s="19"/>
      <c r="D426" s="19"/>
      <c r="E426" s="19"/>
      <c r="F426" s="19"/>
    </row>
    <row r="427" spans="1:6" ht="15.75" customHeight="1" x14ac:dyDescent="0.3">
      <c r="A427" s="19"/>
      <c r="B427" s="19"/>
      <c r="C427" s="19"/>
      <c r="D427" s="19"/>
      <c r="E427" s="19"/>
      <c r="F427" s="19"/>
    </row>
    <row r="428" spans="1:6" ht="15.75" customHeight="1" x14ac:dyDescent="0.3">
      <c r="A428" s="19"/>
      <c r="B428" s="19"/>
      <c r="C428" s="19"/>
      <c r="D428" s="19"/>
      <c r="E428" s="19"/>
      <c r="F428" s="19"/>
    </row>
    <row r="429" spans="1:6" ht="15.75" customHeight="1" x14ac:dyDescent="0.3">
      <c r="A429" s="19"/>
      <c r="B429" s="19"/>
      <c r="C429" s="19"/>
      <c r="D429" s="19"/>
      <c r="E429" s="19"/>
      <c r="F429" s="19"/>
    </row>
    <row r="430" spans="1:6" ht="15.75" customHeight="1" x14ac:dyDescent="0.3">
      <c r="A430" s="19"/>
      <c r="B430" s="19"/>
      <c r="C430" s="19"/>
      <c r="D430" s="19"/>
      <c r="E430" s="19"/>
      <c r="F430" s="19"/>
    </row>
    <row r="431" spans="1:6" ht="15.75" customHeight="1" x14ac:dyDescent="0.3">
      <c r="A431" s="19"/>
      <c r="B431" s="19"/>
      <c r="C431" s="19"/>
      <c r="D431" s="19"/>
      <c r="E431" s="19"/>
      <c r="F431" s="19"/>
    </row>
    <row r="432" spans="1:6" ht="15.75" customHeight="1" x14ac:dyDescent="0.3">
      <c r="A432" s="19"/>
      <c r="B432" s="19"/>
      <c r="C432" s="19"/>
      <c r="D432" s="19"/>
      <c r="E432" s="19"/>
      <c r="F432" s="19"/>
    </row>
    <row r="433" spans="1:6" ht="15.75" customHeight="1" x14ac:dyDescent="0.3">
      <c r="A433" s="19"/>
      <c r="B433" s="19"/>
      <c r="C433" s="19"/>
      <c r="D433" s="19"/>
      <c r="E433" s="19"/>
      <c r="F433" s="19"/>
    </row>
    <row r="434" spans="1:6" ht="15.75" customHeight="1" x14ac:dyDescent="0.3">
      <c r="A434" s="19"/>
      <c r="B434" s="19"/>
      <c r="C434" s="19"/>
      <c r="D434" s="19"/>
      <c r="E434" s="19"/>
      <c r="F434" s="19"/>
    </row>
    <row r="435" spans="1:6" ht="15.75" customHeight="1" x14ac:dyDescent="0.3">
      <c r="A435" s="19"/>
      <c r="B435" s="19"/>
      <c r="C435" s="19"/>
      <c r="D435" s="19"/>
      <c r="E435" s="19"/>
      <c r="F435" s="19"/>
    </row>
    <row r="436" spans="1:6" ht="15.75" customHeight="1" x14ac:dyDescent="0.3">
      <c r="A436" s="19"/>
      <c r="B436" s="19"/>
      <c r="C436" s="19"/>
      <c r="D436" s="19"/>
      <c r="E436" s="19"/>
      <c r="F436" s="19"/>
    </row>
    <row r="437" spans="1:6" ht="15.75" customHeight="1" x14ac:dyDescent="0.3">
      <c r="A437" s="19"/>
      <c r="B437" s="19"/>
      <c r="C437" s="19"/>
      <c r="D437" s="19"/>
      <c r="E437" s="19"/>
      <c r="F437" s="19"/>
    </row>
    <row r="438" spans="1:6" ht="15.75" customHeight="1" x14ac:dyDescent="0.3">
      <c r="A438" s="19"/>
      <c r="B438" s="19"/>
      <c r="C438" s="19"/>
      <c r="D438" s="19"/>
      <c r="E438" s="19"/>
      <c r="F438" s="19"/>
    </row>
    <row r="439" spans="1:6" ht="15.75" customHeight="1" x14ac:dyDescent="0.3">
      <c r="A439" s="19"/>
      <c r="B439" s="19"/>
      <c r="C439" s="19"/>
      <c r="D439" s="19"/>
      <c r="E439" s="19"/>
      <c r="F439" s="19"/>
    </row>
    <row r="440" spans="1:6" ht="15.75" customHeight="1" x14ac:dyDescent="0.3">
      <c r="A440" s="19"/>
      <c r="B440" s="19"/>
      <c r="C440" s="19"/>
      <c r="D440" s="19"/>
      <c r="E440" s="19"/>
      <c r="F440" s="19"/>
    </row>
    <row r="441" spans="1:6" ht="15.75" customHeight="1" x14ac:dyDescent="0.3">
      <c r="A441" s="19"/>
      <c r="B441" s="19"/>
      <c r="C441" s="19"/>
      <c r="D441" s="19"/>
      <c r="E441" s="19"/>
      <c r="F441" s="19"/>
    </row>
    <row r="442" spans="1:6" ht="15.75" customHeight="1" x14ac:dyDescent="0.3">
      <c r="A442" s="19"/>
      <c r="B442" s="19"/>
      <c r="C442" s="19"/>
      <c r="D442" s="19"/>
      <c r="E442" s="19"/>
      <c r="F442" s="19"/>
    </row>
    <row r="443" spans="1:6" ht="15.75" customHeight="1" x14ac:dyDescent="0.3">
      <c r="A443" s="19"/>
      <c r="B443" s="19"/>
      <c r="C443" s="19"/>
      <c r="D443" s="19"/>
      <c r="E443" s="19"/>
      <c r="F443" s="19"/>
    </row>
    <row r="444" spans="1:6" ht="15.75" customHeight="1" x14ac:dyDescent="0.3">
      <c r="A444" s="19"/>
      <c r="B444" s="19"/>
      <c r="C444" s="19"/>
      <c r="D444" s="19"/>
      <c r="E444" s="19"/>
      <c r="F444" s="19"/>
    </row>
    <row r="445" spans="1:6" ht="15.75" customHeight="1" x14ac:dyDescent="0.3">
      <c r="A445" s="19"/>
      <c r="B445" s="19"/>
      <c r="C445" s="19"/>
      <c r="D445" s="19"/>
      <c r="E445" s="19"/>
      <c r="F445" s="19"/>
    </row>
    <row r="446" spans="1:6" ht="15.75" customHeight="1" x14ac:dyDescent="0.3">
      <c r="A446" s="19"/>
      <c r="B446" s="19"/>
      <c r="C446" s="19"/>
      <c r="D446" s="19"/>
      <c r="E446" s="19"/>
      <c r="F446" s="19"/>
    </row>
    <row r="447" spans="1:6" ht="15.75" customHeight="1" x14ac:dyDescent="0.3">
      <c r="A447" s="19"/>
      <c r="B447" s="19"/>
      <c r="C447" s="19"/>
      <c r="D447" s="19"/>
      <c r="E447" s="19"/>
      <c r="F447" s="19"/>
    </row>
    <row r="448" spans="1:6" ht="15.75" customHeight="1" x14ac:dyDescent="0.3">
      <c r="A448" s="19"/>
      <c r="B448" s="19"/>
      <c r="C448" s="19"/>
      <c r="D448" s="19"/>
      <c r="E448" s="19"/>
      <c r="F448" s="19"/>
    </row>
    <row r="449" spans="1:6" ht="15.75" customHeight="1" x14ac:dyDescent="0.3">
      <c r="A449" s="19"/>
      <c r="B449" s="19"/>
      <c r="C449" s="19"/>
      <c r="D449" s="19"/>
      <c r="E449" s="19"/>
      <c r="F449" s="19"/>
    </row>
    <row r="450" spans="1:6" ht="15.75" customHeight="1" x14ac:dyDescent="0.3">
      <c r="A450" s="19"/>
      <c r="B450" s="19"/>
      <c r="C450" s="19"/>
      <c r="D450" s="19"/>
      <c r="E450" s="19"/>
      <c r="F450" s="19"/>
    </row>
    <row r="451" spans="1:6" ht="15.75" customHeight="1" x14ac:dyDescent="0.3">
      <c r="A451" s="19"/>
      <c r="B451" s="19"/>
      <c r="C451" s="19"/>
      <c r="D451" s="19"/>
      <c r="E451" s="19"/>
      <c r="F451" s="19"/>
    </row>
    <row r="452" spans="1:6" ht="15.75" customHeight="1" x14ac:dyDescent="0.3">
      <c r="A452" s="19"/>
      <c r="B452" s="19"/>
      <c r="C452" s="19"/>
      <c r="D452" s="19"/>
      <c r="E452" s="19"/>
      <c r="F452" s="19"/>
    </row>
    <row r="453" spans="1:6" ht="15.75" customHeight="1" x14ac:dyDescent="0.3">
      <c r="A453" s="19"/>
      <c r="B453" s="19"/>
      <c r="C453" s="19"/>
      <c r="D453" s="19"/>
      <c r="E453" s="19"/>
      <c r="F453" s="19"/>
    </row>
    <row r="454" spans="1:6" ht="15.75" customHeight="1" x14ac:dyDescent="0.3">
      <c r="A454" s="19"/>
      <c r="B454" s="19"/>
      <c r="C454" s="19"/>
      <c r="D454" s="19"/>
      <c r="E454" s="19"/>
      <c r="F454" s="19"/>
    </row>
    <row r="455" spans="1:6" ht="15.75" customHeight="1" x14ac:dyDescent="0.3">
      <c r="A455" s="19"/>
      <c r="B455" s="19"/>
      <c r="C455" s="19"/>
      <c r="D455" s="19"/>
      <c r="E455" s="19"/>
      <c r="F455" s="19"/>
    </row>
    <row r="456" spans="1:6" ht="15.75" customHeight="1" x14ac:dyDescent="0.3">
      <c r="A456" s="19"/>
      <c r="B456" s="19"/>
      <c r="C456" s="19"/>
      <c r="D456" s="19"/>
      <c r="E456" s="19"/>
      <c r="F456" s="19"/>
    </row>
    <row r="457" spans="1:6" ht="15.75" customHeight="1" x14ac:dyDescent="0.3">
      <c r="A457" s="19"/>
      <c r="B457" s="19"/>
      <c r="C457" s="19"/>
      <c r="D457" s="19"/>
      <c r="E457" s="19"/>
      <c r="F457" s="19"/>
    </row>
    <row r="458" spans="1:6" ht="15.75" customHeight="1" x14ac:dyDescent="0.3">
      <c r="A458" s="19"/>
      <c r="B458" s="19"/>
      <c r="C458" s="19"/>
      <c r="D458" s="19"/>
      <c r="E458" s="19"/>
      <c r="F458" s="19"/>
    </row>
    <row r="459" spans="1:6" ht="15.75" customHeight="1" x14ac:dyDescent="0.3">
      <c r="A459" s="19"/>
      <c r="B459" s="19"/>
      <c r="C459" s="19"/>
      <c r="D459" s="19"/>
      <c r="E459" s="19"/>
      <c r="F459" s="19"/>
    </row>
    <row r="460" spans="1:6" ht="15.75" customHeight="1" x14ac:dyDescent="0.3">
      <c r="A460" s="19"/>
      <c r="B460" s="19"/>
      <c r="C460" s="19"/>
      <c r="D460" s="19"/>
      <c r="E460" s="19"/>
      <c r="F460" s="19"/>
    </row>
    <row r="461" spans="1:6" ht="15.75" customHeight="1" x14ac:dyDescent="0.3">
      <c r="A461" s="19"/>
      <c r="B461" s="19"/>
      <c r="C461" s="19"/>
      <c r="D461" s="19"/>
      <c r="E461" s="19"/>
      <c r="F461" s="19"/>
    </row>
    <row r="462" spans="1:6" ht="15.75" customHeight="1" x14ac:dyDescent="0.3">
      <c r="A462" s="19"/>
      <c r="B462" s="19"/>
      <c r="C462" s="19"/>
      <c r="D462" s="19"/>
      <c r="E462" s="19"/>
      <c r="F462" s="19"/>
    </row>
    <row r="463" spans="1:6" ht="15.75" customHeight="1" x14ac:dyDescent="0.3">
      <c r="A463" s="19"/>
      <c r="B463" s="19"/>
      <c r="C463" s="19"/>
      <c r="D463" s="19"/>
      <c r="E463" s="19"/>
      <c r="F463" s="19"/>
    </row>
    <row r="464" spans="1:6" ht="15.75" customHeight="1" x14ac:dyDescent="0.3">
      <c r="A464" s="19"/>
      <c r="B464" s="19"/>
      <c r="C464" s="19"/>
      <c r="D464" s="19"/>
      <c r="E464" s="19"/>
      <c r="F464" s="19"/>
    </row>
    <row r="465" spans="1:6" ht="15.75" customHeight="1" x14ac:dyDescent="0.3">
      <c r="A465" s="19"/>
      <c r="B465" s="19"/>
      <c r="C465" s="19"/>
      <c r="D465" s="19"/>
      <c r="E465" s="19"/>
      <c r="F465" s="19"/>
    </row>
    <row r="466" spans="1:6" ht="15.75" customHeight="1" x14ac:dyDescent="0.3">
      <c r="A466" s="19"/>
      <c r="B466" s="19"/>
      <c r="C466" s="19"/>
      <c r="D466" s="19"/>
      <c r="E466" s="19"/>
      <c r="F466" s="19"/>
    </row>
    <row r="467" spans="1:6" ht="15.75" customHeight="1" x14ac:dyDescent="0.3">
      <c r="A467" s="19"/>
      <c r="B467" s="19"/>
      <c r="C467" s="19"/>
      <c r="D467" s="19"/>
      <c r="E467" s="19"/>
      <c r="F467" s="19"/>
    </row>
    <row r="468" spans="1:6" ht="15.75" customHeight="1" x14ac:dyDescent="0.3">
      <c r="A468" s="19"/>
      <c r="B468" s="19"/>
      <c r="C468" s="19"/>
      <c r="D468" s="19"/>
      <c r="E468" s="19"/>
      <c r="F468" s="19"/>
    </row>
    <row r="469" spans="1:6" ht="15.75" customHeight="1" x14ac:dyDescent="0.3">
      <c r="A469" s="19"/>
      <c r="B469" s="19"/>
      <c r="C469" s="19"/>
      <c r="D469" s="19"/>
      <c r="E469" s="19"/>
      <c r="F469" s="19"/>
    </row>
    <row r="470" spans="1:6" ht="15.75" customHeight="1" x14ac:dyDescent="0.3">
      <c r="A470" s="19"/>
      <c r="B470" s="19"/>
      <c r="C470" s="19"/>
      <c r="D470" s="19"/>
      <c r="E470" s="19"/>
      <c r="F470" s="19"/>
    </row>
    <row r="471" spans="1:6" ht="15.75" customHeight="1" x14ac:dyDescent="0.3">
      <c r="A471" s="19"/>
      <c r="B471" s="19"/>
      <c r="C471" s="19"/>
      <c r="D471" s="19"/>
      <c r="E471" s="19"/>
      <c r="F471" s="19"/>
    </row>
    <row r="472" spans="1:6" ht="15.75" customHeight="1" x14ac:dyDescent="0.3">
      <c r="A472" s="19"/>
      <c r="B472" s="19"/>
      <c r="C472" s="19"/>
      <c r="D472" s="19"/>
      <c r="E472" s="19"/>
      <c r="F472" s="19"/>
    </row>
    <row r="473" spans="1:6" ht="15.75" customHeight="1" x14ac:dyDescent="0.3">
      <c r="A473" s="19"/>
      <c r="B473" s="19"/>
      <c r="C473" s="19"/>
      <c r="D473" s="19"/>
      <c r="E473" s="19"/>
      <c r="F473" s="19"/>
    </row>
    <row r="474" spans="1:6" ht="15.75" customHeight="1" x14ac:dyDescent="0.3">
      <c r="A474" s="19"/>
      <c r="B474" s="19"/>
      <c r="C474" s="19"/>
      <c r="D474" s="19"/>
      <c r="E474" s="19"/>
      <c r="F474" s="19"/>
    </row>
    <row r="475" spans="1:6" ht="15.75" customHeight="1" x14ac:dyDescent="0.3">
      <c r="A475" s="19"/>
      <c r="B475" s="19"/>
      <c r="C475" s="19"/>
      <c r="D475" s="19"/>
      <c r="E475" s="19"/>
      <c r="F475" s="19"/>
    </row>
    <row r="476" spans="1:6" ht="15.75" customHeight="1" x14ac:dyDescent="0.3">
      <c r="A476" s="19"/>
      <c r="B476" s="19"/>
      <c r="C476" s="19"/>
      <c r="D476" s="19"/>
      <c r="E476" s="19"/>
      <c r="F476" s="19"/>
    </row>
    <row r="477" spans="1:6" ht="15.75" customHeight="1" x14ac:dyDescent="0.3">
      <c r="A477" s="19"/>
      <c r="B477" s="19"/>
      <c r="C477" s="19"/>
      <c r="D477" s="19"/>
      <c r="E477" s="19"/>
      <c r="F477" s="19"/>
    </row>
    <row r="478" spans="1:6" ht="15.75" customHeight="1" x14ac:dyDescent="0.3">
      <c r="A478" s="19"/>
      <c r="B478" s="19"/>
      <c r="C478" s="19"/>
      <c r="D478" s="19"/>
      <c r="E478" s="19"/>
      <c r="F478" s="19"/>
    </row>
    <row r="479" spans="1:6" ht="15.75" customHeight="1" x14ac:dyDescent="0.3">
      <c r="A479" s="19"/>
      <c r="B479" s="19"/>
      <c r="C479" s="19"/>
      <c r="D479" s="19"/>
      <c r="E479" s="19"/>
      <c r="F479" s="19"/>
    </row>
    <row r="480" spans="1:6" ht="15.75" customHeight="1" x14ac:dyDescent="0.3">
      <c r="A480" s="19"/>
      <c r="B480" s="19"/>
      <c r="C480" s="19"/>
      <c r="D480" s="19"/>
      <c r="E480" s="19"/>
      <c r="F480" s="19"/>
    </row>
    <row r="481" spans="1:6" ht="15.75" customHeight="1" x14ac:dyDescent="0.3">
      <c r="A481" s="19"/>
      <c r="B481" s="19"/>
      <c r="C481" s="19"/>
      <c r="D481" s="19"/>
      <c r="E481" s="19"/>
      <c r="F481" s="19"/>
    </row>
    <row r="482" spans="1:6" ht="15.75" customHeight="1" x14ac:dyDescent="0.3">
      <c r="A482" s="19"/>
      <c r="B482" s="19"/>
      <c r="C482" s="19"/>
      <c r="D482" s="19"/>
      <c r="E482" s="19"/>
      <c r="F482" s="19"/>
    </row>
    <row r="483" spans="1:6" ht="15.75" customHeight="1" x14ac:dyDescent="0.3">
      <c r="A483" s="19"/>
      <c r="B483" s="19"/>
      <c r="C483" s="19"/>
      <c r="D483" s="19"/>
      <c r="E483" s="19"/>
      <c r="F483" s="19"/>
    </row>
    <row r="484" spans="1:6" ht="15.75" customHeight="1" x14ac:dyDescent="0.3">
      <c r="A484" s="19"/>
      <c r="B484" s="19"/>
      <c r="C484" s="19"/>
      <c r="D484" s="19"/>
      <c r="E484" s="19"/>
      <c r="F484" s="19"/>
    </row>
    <row r="485" spans="1:6" ht="15.75" customHeight="1" x14ac:dyDescent="0.3">
      <c r="A485" s="19"/>
      <c r="B485" s="19"/>
      <c r="C485" s="19"/>
      <c r="D485" s="19"/>
      <c r="E485" s="19"/>
      <c r="F485" s="19"/>
    </row>
    <row r="486" spans="1:6" ht="15.75" customHeight="1" x14ac:dyDescent="0.3">
      <c r="A486" s="19"/>
      <c r="B486" s="19"/>
      <c r="C486" s="19"/>
      <c r="D486" s="19"/>
      <c r="E486" s="19"/>
      <c r="F486" s="19"/>
    </row>
    <row r="487" spans="1:6" ht="15.75" customHeight="1" x14ac:dyDescent="0.3">
      <c r="A487" s="19"/>
      <c r="B487" s="19"/>
      <c r="C487" s="19"/>
      <c r="D487" s="19"/>
      <c r="E487" s="19"/>
      <c r="F487" s="19"/>
    </row>
    <row r="488" spans="1:6" ht="15.75" customHeight="1" x14ac:dyDescent="0.3">
      <c r="A488" s="19"/>
      <c r="B488" s="19"/>
      <c r="C488" s="19"/>
      <c r="D488" s="19"/>
      <c r="E488" s="19"/>
      <c r="F488" s="19"/>
    </row>
    <row r="489" spans="1:6" ht="15.75" customHeight="1" x14ac:dyDescent="0.3">
      <c r="A489" s="19"/>
      <c r="B489" s="19"/>
      <c r="C489" s="19"/>
      <c r="D489" s="19"/>
      <c r="E489" s="19"/>
      <c r="F489" s="19"/>
    </row>
    <row r="490" spans="1:6" ht="15.75" customHeight="1" x14ac:dyDescent="0.3">
      <c r="A490" s="19"/>
      <c r="B490" s="19"/>
      <c r="C490" s="19"/>
      <c r="D490" s="19"/>
      <c r="E490" s="19"/>
      <c r="F490" s="19"/>
    </row>
    <row r="491" spans="1:6" ht="15.75" customHeight="1" x14ac:dyDescent="0.3">
      <c r="A491" s="19"/>
      <c r="B491" s="19"/>
      <c r="C491" s="19"/>
      <c r="D491" s="19"/>
      <c r="E491" s="19"/>
      <c r="F491" s="19"/>
    </row>
    <row r="492" spans="1:6" ht="15.75" customHeight="1" x14ac:dyDescent="0.3">
      <c r="A492" s="19"/>
      <c r="B492" s="19"/>
      <c r="C492" s="19"/>
      <c r="D492" s="19"/>
      <c r="E492" s="19"/>
      <c r="F492" s="19"/>
    </row>
    <row r="493" spans="1:6" ht="15.75" customHeight="1" x14ac:dyDescent="0.3">
      <c r="A493" s="19"/>
      <c r="B493" s="19"/>
      <c r="C493" s="19"/>
      <c r="D493" s="19"/>
      <c r="E493" s="19"/>
      <c r="F493" s="19"/>
    </row>
    <row r="494" spans="1:6" ht="15.75" customHeight="1" x14ac:dyDescent="0.3">
      <c r="A494" s="19"/>
      <c r="B494" s="19"/>
      <c r="C494" s="19"/>
      <c r="D494" s="19"/>
      <c r="E494" s="19"/>
      <c r="F494" s="19"/>
    </row>
    <row r="495" spans="1:6" ht="15.75" customHeight="1" x14ac:dyDescent="0.3">
      <c r="A495" s="19"/>
      <c r="B495" s="19"/>
      <c r="C495" s="19"/>
      <c r="D495" s="19"/>
      <c r="E495" s="19"/>
      <c r="F495" s="19"/>
    </row>
    <row r="496" spans="1:6" ht="15.75" customHeight="1" x14ac:dyDescent="0.3">
      <c r="A496" s="19"/>
      <c r="B496" s="19"/>
      <c r="C496" s="19"/>
      <c r="D496" s="19"/>
      <c r="E496" s="19"/>
      <c r="F496" s="19"/>
    </row>
    <row r="497" spans="1:6" ht="15.75" customHeight="1" x14ac:dyDescent="0.3">
      <c r="A497" s="19"/>
      <c r="B497" s="19"/>
      <c r="C497" s="19"/>
      <c r="D497" s="19"/>
      <c r="E497" s="19"/>
      <c r="F497" s="19"/>
    </row>
    <row r="498" spans="1:6" ht="15.75" customHeight="1" x14ac:dyDescent="0.3">
      <c r="A498" s="19"/>
      <c r="B498" s="19"/>
      <c r="C498" s="19"/>
      <c r="D498" s="19"/>
      <c r="E498" s="19"/>
      <c r="F498" s="19"/>
    </row>
    <row r="499" spans="1:6" ht="15.75" customHeight="1" x14ac:dyDescent="0.3">
      <c r="A499" s="19"/>
      <c r="B499" s="19"/>
      <c r="C499" s="19"/>
      <c r="D499" s="19"/>
      <c r="E499" s="19"/>
      <c r="F499" s="19"/>
    </row>
    <row r="500" spans="1:6" ht="15.75" customHeight="1" x14ac:dyDescent="0.3">
      <c r="A500" s="19"/>
      <c r="B500" s="19"/>
      <c r="C500" s="19"/>
      <c r="D500" s="19"/>
      <c r="E500" s="19"/>
      <c r="F500" s="19"/>
    </row>
    <row r="501" spans="1:6" ht="15.75" customHeight="1" x14ac:dyDescent="0.3">
      <c r="A501" s="19"/>
      <c r="B501" s="19"/>
      <c r="C501" s="19"/>
      <c r="D501" s="19"/>
      <c r="E501" s="19"/>
      <c r="F501" s="19"/>
    </row>
    <row r="502" spans="1:6" ht="15.75" customHeight="1" x14ac:dyDescent="0.3">
      <c r="A502" s="19"/>
      <c r="B502" s="19"/>
      <c r="C502" s="19"/>
      <c r="D502" s="19"/>
      <c r="E502" s="19"/>
      <c r="F502" s="19"/>
    </row>
    <row r="503" spans="1:6" ht="15.75" customHeight="1" x14ac:dyDescent="0.3">
      <c r="A503" s="19"/>
      <c r="B503" s="19"/>
      <c r="C503" s="19"/>
      <c r="D503" s="19"/>
      <c r="E503" s="19"/>
      <c r="F503" s="19"/>
    </row>
    <row r="504" spans="1:6" ht="15.75" customHeight="1" x14ac:dyDescent="0.3">
      <c r="A504" s="19"/>
      <c r="B504" s="19"/>
      <c r="C504" s="19"/>
      <c r="D504" s="19"/>
      <c r="E504" s="19"/>
      <c r="F504" s="19"/>
    </row>
    <row r="505" spans="1:6" ht="15.75" customHeight="1" x14ac:dyDescent="0.3">
      <c r="A505" s="19"/>
      <c r="B505" s="19"/>
      <c r="C505" s="19"/>
      <c r="D505" s="19"/>
      <c r="E505" s="19"/>
      <c r="F505" s="19"/>
    </row>
    <row r="506" spans="1:6" ht="15.75" customHeight="1" x14ac:dyDescent="0.3">
      <c r="A506" s="19"/>
      <c r="B506" s="19"/>
      <c r="C506" s="19"/>
      <c r="D506" s="19"/>
      <c r="E506" s="19"/>
      <c r="F506" s="19"/>
    </row>
    <row r="507" spans="1:6" ht="15.75" customHeight="1" x14ac:dyDescent="0.3">
      <c r="A507" s="19"/>
      <c r="B507" s="19"/>
      <c r="C507" s="19"/>
      <c r="D507" s="19"/>
      <c r="E507" s="19"/>
      <c r="F507" s="19"/>
    </row>
    <row r="508" spans="1:6" ht="15.75" customHeight="1" x14ac:dyDescent="0.3">
      <c r="A508" s="19"/>
      <c r="B508" s="19"/>
      <c r="C508" s="19"/>
      <c r="D508" s="19"/>
      <c r="E508" s="19"/>
      <c r="F508" s="19"/>
    </row>
    <row r="509" spans="1:6" ht="15.75" customHeight="1" x14ac:dyDescent="0.3">
      <c r="A509" s="19"/>
      <c r="B509" s="19"/>
      <c r="C509" s="19"/>
      <c r="D509" s="19"/>
      <c r="E509" s="19"/>
      <c r="F509" s="19"/>
    </row>
    <row r="510" spans="1:6" ht="15.75" customHeight="1" x14ac:dyDescent="0.3">
      <c r="A510" s="19"/>
      <c r="B510" s="19"/>
      <c r="C510" s="19"/>
      <c r="D510" s="19"/>
      <c r="E510" s="19"/>
      <c r="F510" s="19"/>
    </row>
    <row r="511" spans="1:6" ht="15.75" customHeight="1" x14ac:dyDescent="0.3">
      <c r="A511" s="19"/>
      <c r="B511" s="19"/>
      <c r="C511" s="19"/>
      <c r="D511" s="19"/>
      <c r="E511" s="19"/>
      <c r="F511" s="19"/>
    </row>
    <row r="512" spans="1:6" ht="15.75" customHeight="1" x14ac:dyDescent="0.3">
      <c r="A512" s="19"/>
      <c r="B512" s="19"/>
      <c r="C512" s="19"/>
      <c r="D512" s="19"/>
      <c r="E512" s="19"/>
      <c r="F512" s="19"/>
    </row>
    <row r="513" spans="1:6" ht="15.75" customHeight="1" x14ac:dyDescent="0.3">
      <c r="A513" s="19"/>
      <c r="B513" s="19"/>
      <c r="C513" s="19"/>
      <c r="D513" s="19"/>
      <c r="E513" s="19"/>
      <c r="F513" s="19"/>
    </row>
    <row r="514" spans="1:6" ht="15.75" customHeight="1" x14ac:dyDescent="0.3">
      <c r="A514" s="19"/>
      <c r="B514" s="19"/>
      <c r="C514" s="19"/>
      <c r="D514" s="19"/>
      <c r="E514" s="19"/>
      <c r="F514" s="19"/>
    </row>
    <row r="515" spans="1:6" ht="15.75" customHeight="1" x14ac:dyDescent="0.3">
      <c r="A515" s="19"/>
      <c r="B515" s="19"/>
      <c r="C515" s="19"/>
      <c r="D515" s="19"/>
      <c r="E515" s="19"/>
      <c r="F515" s="19"/>
    </row>
    <row r="516" spans="1:6" ht="15.75" customHeight="1" x14ac:dyDescent="0.3">
      <c r="A516" s="19"/>
      <c r="B516" s="19"/>
      <c r="C516" s="19"/>
      <c r="D516" s="19"/>
      <c r="E516" s="19"/>
      <c r="F516" s="19"/>
    </row>
    <row r="517" spans="1:6" ht="15.75" customHeight="1" x14ac:dyDescent="0.3">
      <c r="A517" s="19"/>
      <c r="B517" s="19"/>
      <c r="C517" s="19"/>
      <c r="D517" s="19"/>
      <c r="E517" s="19"/>
      <c r="F517" s="19"/>
    </row>
    <row r="518" spans="1:6" ht="15.75" customHeight="1" x14ac:dyDescent="0.3">
      <c r="A518" s="19"/>
      <c r="B518" s="19"/>
      <c r="C518" s="19"/>
      <c r="D518" s="19"/>
      <c r="E518" s="19"/>
      <c r="F518" s="19"/>
    </row>
    <row r="519" spans="1:6" ht="15.75" customHeight="1" x14ac:dyDescent="0.3">
      <c r="A519" s="19"/>
      <c r="B519" s="19"/>
      <c r="C519" s="19"/>
      <c r="D519" s="19"/>
      <c r="E519" s="19"/>
      <c r="F519" s="19"/>
    </row>
    <row r="520" spans="1:6" ht="15.75" customHeight="1" x14ac:dyDescent="0.3">
      <c r="A520" s="19"/>
      <c r="B520" s="19"/>
      <c r="C520" s="19"/>
      <c r="D520" s="19"/>
      <c r="E520" s="19"/>
      <c r="F520" s="19"/>
    </row>
    <row r="521" spans="1:6" ht="15.75" customHeight="1" x14ac:dyDescent="0.3">
      <c r="A521" s="19"/>
      <c r="B521" s="19"/>
      <c r="C521" s="19"/>
      <c r="D521" s="19"/>
      <c r="E521" s="19"/>
      <c r="F521" s="19"/>
    </row>
    <row r="522" spans="1:6" ht="15.75" customHeight="1" x14ac:dyDescent="0.3">
      <c r="A522" s="19"/>
      <c r="B522" s="19"/>
      <c r="C522" s="19"/>
      <c r="D522" s="19"/>
      <c r="E522" s="19"/>
      <c r="F522" s="19"/>
    </row>
    <row r="523" spans="1:6" ht="15.75" customHeight="1" x14ac:dyDescent="0.3">
      <c r="A523" s="19"/>
      <c r="B523" s="19"/>
      <c r="C523" s="19"/>
      <c r="D523" s="19"/>
      <c r="E523" s="19"/>
      <c r="F523" s="19"/>
    </row>
    <row r="524" spans="1:6" ht="15.75" customHeight="1" x14ac:dyDescent="0.3">
      <c r="A524" s="19"/>
      <c r="B524" s="19"/>
      <c r="C524" s="19"/>
      <c r="D524" s="19"/>
      <c r="E524" s="19"/>
      <c r="F524" s="19"/>
    </row>
    <row r="525" spans="1:6" ht="15.75" customHeight="1" x14ac:dyDescent="0.3">
      <c r="A525" s="19"/>
      <c r="B525" s="19"/>
      <c r="C525" s="19"/>
      <c r="D525" s="19"/>
      <c r="E525" s="19"/>
      <c r="F525" s="19"/>
    </row>
    <row r="526" spans="1:6" ht="15.75" customHeight="1" x14ac:dyDescent="0.3">
      <c r="A526" s="19"/>
      <c r="B526" s="19"/>
      <c r="C526" s="19"/>
      <c r="D526" s="19"/>
      <c r="E526" s="19"/>
      <c r="F526" s="19"/>
    </row>
    <row r="527" spans="1:6" ht="15.75" customHeight="1" x14ac:dyDescent="0.3">
      <c r="A527" s="19"/>
      <c r="B527" s="19"/>
      <c r="C527" s="19"/>
      <c r="D527" s="19"/>
      <c r="E527" s="19"/>
      <c r="F527" s="19"/>
    </row>
    <row r="528" spans="1:6" ht="15.75" customHeight="1" x14ac:dyDescent="0.3">
      <c r="A528" s="19"/>
      <c r="B528" s="19"/>
      <c r="C528" s="19"/>
      <c r="D528" s="19"/>
      <c r="E528" s="19"/>
      <c r="F528" s="19"/>
    </row>
    <row r="529" spans="1:6" ht="15.75" customHeight="1" x14ac:dyDescent="0.3">
      <c r="A529" s="19"/>
      <c r="B529" s="19"/>
      <c r="C529" s="19"/>
      <c r="D529" s="19"/>
      <c r="E529" s="19"/>
      <c r="F529" s="19"/>
    </row>
    <row r="530" spans="1:6" ht="15.75" customHeight="1" x14ac:dyDescent="0.3">
      <c r="A530" s="19"/>
      <c r="B530" s="19"/>
      <c r="C530" s="19"/>
      <c r="D530" s="19"/>
      <c r="E530" s="19"/>
      <c r="F530" s="19"/>
    </row>
    <row r="531" spans="1:6" ht="15.75" customHeight="1" x14ac:dyDescent="0.3">
      <c r="A531" s="19"/>
      <c r="B531" s="19"/>
      <c r="C531" s="19"/>
      <c r="D531" s="19"/>
      <c r="E531" s="19"/>
      <c r="F531" s="19"/>
    </row>
    <row r="532" spans="1:6" ht="15.75" customHeight="1" x14ac:dyDescent="0.3">
      <c r="A532" s="19"/>
      <c r="B532" s="19"/>
      <c r="C532" s="19"/>
      <c r="D532" s="19"/>
      <c r="E532" s="19"/>
      <c r="F532" s="19"/>
    </row>
    <row r="533" spans="1:6" ht="15.75" customHeight="1" x14ac:dyDescent="0.3">
      <c r="A533" s="19"/>
      <c r="B533" s="19"/>
      <c r="C533" s="19"/>
      <c r="D533" s="19"/>
      <c r="E533" s="19"/>
      <c r="F533" s="19"/>
    </row>
    <row r="534" spans="1:6" ht="15.75" customHeight="1" x14ac:dyDescent="0.3">
      <c r="A534" s="19"/>
      <c r="B534" s="19"/>
      <c r="C534" s="19"/>
      <c r="D534" s="19"/>
      <c r="E534" s="19"/>
      <c r="F534" s="19"/>
    </row>
    <row r="535" spans="1:6" ht="15.75" customHeight="1" x14ac:dyDescent="0.3">
      <c r="A535" s="19"/>
      <c r="B535" s="19"/>
      <c r="C535" s="19"/>
      <c r="D535" s="19"/>
      <c r="E535" s="19"/>
      <c r="F535" s="19"/>
    </row>
    <row r="536" spans="1:6" ht="15.75" customHeight="1" x14ac:dyDescent="0.3">
      <c r="A536" s="19"/>
      <c r="B536" s="19"/>
      <c r="C536" s="19"/>
      <c r="D536" s="19"/>
      <c r="E536" s="19"/>
      <c r="F536" s="19"/>
    </row>
    <row r="537" spans="1:6" ht="15.75" customHeight="1" x14ac:dyDescent="0.3">
      <c r="A537" s="19"/>
      <c r="B537" s="19"/>
      <c r="C537" s="19"/>
      <c r="D537" s="19"/>
      <c r="E537" s="19"/>
      <c r="F537" s="19"/>
    </row>
    <row r="538" spans="1:6" ht="15.75" customHeight="1" x14ac:dyDescent="0.3">
      <c r="A538" s="19"/>
      <c r="B538" s="19"/>
      <c r="C538" s="19"/>
      <c r="D538" s="19"/>
      <c r="E538" s="19"/>
      <c r="F538" s="19"/>
    </row>
    <row r="539" spans="1:6" ht="15.75" customHeight="1" x14ac:dyDescent="0.3">
      <c r="A539" s="19"/>
      <c r="B539" s="19"/>
      <c r="C539" s="19"/>
      <c r="D539" s="19"/>
      <c r="E539" s="19"/>
      <c r="F539" s="19"/>
    </row>
    <row r="540" spans="1:6" ht="15.75" customHeight="1" x14ac:dyDescent="0.3">
      <c r="A540" s="19"/>
      <c r="B540" s="19"/>
      <c r="C540" s="19"/>
      <c r="D540" s="19"/>
      <c r="E540" s="19"/>
      <c r="F540" s="19"/>
    </row>
    <row r="541" spans="1:6" ht="15.75" customHeight="1" x14ac:dyDescent="0.3">
      <c r="A541" s="19"/>
      <c r="B541" s="19"/>
      <c r="C541" s="19"/>
      <c r="D541" s="19"/>
      <c r="E541" s="19"/>
      <c r="F541" s="19"/>
    </row>
    <row r="542" spans="1:6" ht="15.75" customHeight="1" x14ac:dyDescent="0.3">
      <c r="A542" s="19"/>
      <c r="B542" s="19"/>
      <c r="C542" s="19"/>
      <c r="D542" s="19"/>
      <c r="E542" s="19"/>
      <c r="F542" s="19"/>
    </row>
    <row r="543" spans="1:6" ht="15.75" customHeight="1" x14ac:dyDescent="0.3">
      <c r="A543" s="19"/>
      <c r="B543" s="19"/>
      <c r="C543" s="19"/>
      <c r="D543" s="19"/>
      <c r="E543" s="19"/>
      <c r="F543" s="19"/>
    </row>
    <row r="544" spans="1:6" ht="15.75" customHeight="1" x14ac:dyDescent="0.3">
      <c r="A544" s="19"/>
      <c r="B544" s="19"/>
      <c r="C544" s="19"/>
      <c r="D544" s="19"/>
      <c r="E544" s="19"/>
      <c r="F544" s="19"/>
    </row>
    <row r="545" spans="1:6" ht="15.75" customHeight="1" x14ac:dyDescent="0.3">
      <c r="A545" s="19"/>
      <c r="B545" s="19"/>
      <c r="C545" s="19"/>
      <c r="D545" s="19"/>
      <c r="E545" s="19"/>
      <c r="F545" s="19"/>
    </row>
    <row r="546" spans="1:6" ht="15.75" customHeight="1" x14ac:dyDescent="0.3">
      <c r="A546" s="19"/>
      <c r="B546" s="19"/>
      <c r="C546" s="19"/>
      <c r="D546" s="19"/>
      <c r="E546" s="19"/>
      <c r="F546" s="19"/>
    </row>
    <row r="547" spans="1:6" ht="15.75" customHeight="1" x14ac:dyDescent="0.3">
      <c r="A547" s="19"/>
      <c r="B547" s="19"/>
      <c r="C547" s="19"/>
      <c r="D547" s="19"/>
      <c r="E547" s="19"/>
      <c r="F547" s="19"/>
    </row>
    <row r="548" spans="1:6" ht="15.75" customHeight="1" x14ac:dyDescent="0.3">
      <c r="A548" s="19"/>
      <c r="B548" s="19"/>
      <c r="C548" s="19"/>
      <c r="D548" s="19"/>
      <c r="E548" s="19"/>
      <c r="F548" s="19"/>
    </row>
    <row r="549" spans="1:6" ht="15.75" customHeight="1" x14ac:dyDescent="0.3">
      <c r="A549" s="19"/>
      <c r="B549" s="19"/>
      <c r="C549" s="19"/>
      <c r="D549" s="19"/>
      <c r="E549" s="19"/>
      <c r="F549" s="19"/>
    </row>
    <row r="550" spans="1:6" ht="15.75" customHeight="1" x14ac:dyDescent="0.3">
      <c r="A550" s="19"/>
      <c r="B550" s="19"/>
      <c r="C550" s="19"/>
      <c r="D550" s="19"/>
      <c r="E550" s="19"/>
      <c r="F550" s="19"/>
    </row>
    <row r="551" spans="1:6" ht="15.75" customHeight="1" x14ac:dyDescent="0.3">
      <c r="A551" s="19"/>
      <c r="B551" s="19"/>
      <c r="C551" s="19"/>
      <c r="D551" s="19"/>
      <c r="E551" s="19"/>
      <c r="F551" s="19"/>
    </row>
    <row r="552" spans="1:6" ht="15.75" customHeight="1" x14ac:dyDescent="0.3">
      <c r="A552" s="19"/>
      <c r="B552" s="19"/>
      <c r="C552" s="19"/>
      <c r="D552" s="19"/>
      <c r="E552" s="19"/>
      <c r="F552" s="19"/>
    </row>
    <row r="553" spans="1:6" ht="15.75" customHeight="1" x14ac:dyDescent="0.3">
      <c r="A553" s="19"/>
      <c r="B553" s="19"/>
      <c r="C553" s="19"/>
      <c r="D553" s="19"/>
      <c r="E553" s="19"/>
      <c r="F553" s="19"/>
    </row>
    <row r="554" spans="1:6" ht="15.75" customHeight="1" x14ac:dyDescent="0.3">
      <c r="A554" s="19"/>
      <c r="B554" s="19"/>
      <c r="C554" s="19"/>
      <c r="D554" s="19"/>
      <c r="E554" s="19"/>
      <c r="F554" s="19"/>
    </row>
    <row r="555" spans="1:6" ht="15.75" customHeight="1" x14ac:dyDescent="0.3">
      <c r="A555" s="19"/>
      <c r="B555" s="19"/>
      <c r="C555" s="19"/>
      <c r="D555" s="19"/>
      <c r="E555" s="19"/>
      <c r="F555" s="19"/>
    </row>
    <row r="556" spans="1:6" ht="15.75" customHeight="1" x14ac:dyDescent="0.3">
      <c r="A556" s="19"/>
      <c r="B556" s="19"/>
      <c r="C556" s="19"/>
      <c r="D556" s="19"/>
      <c r="E556" s="19"/>
      <c r="F556" s="19"/>
    </row>
    <row r="557" spans="1:6" ht="15.75" customHeight="1" x14ac:dyDescent="0.3">
      <c r="A557" s="19"/>
      <c r="B557" s="19"/>
      <c r="C557" s="19"/>
      <c r="D557" s="19"/>
      <c r="E557" s="19"/>
      <c r="F557" s="19"/>
    </row>
    <row r="558" spans="1:6" ht="15.75" customHeight="1" x14ac:dyDescent="0.3">
      <c r="A558" s="19"/>
      <c r="B558" s="19"/>
      <c r="C558" s="19"/>
      <c r="D558" s="19"/>
      <c r="E558" s="19"/>
      <c r="F558" s="19"/>
    </row>
    <row r="559" spans="1:6" ht="15.75" customHeight="1" x14ac:dyDescent="0.3">
      <c r="A559" s="19"/>
      <c r="B559" s="19"/>
      <c r="C559" s="19"/>
      <c r="D559" s="19"/>
      <c r="E559" s="19"/>
      <c r="F559" s="19"/>
    </row>
    <row r="560" spans="1:6" ht="15.75" customHeight="1" x14ac:dyDescent="0.3">
      <c r="A560" s="19"/>
      <c r="B560" s="19"/>
      <c r="C560" s="19"/>
      <c r="D560" s="19"/>
      <c r="E560" s="19"/>
      <c r="F560" s="19"/>
    </row>
    <row r="561" spans="1:6" ht="15.75" customHeight="1" x14ac:dyDescent="0.3">
      <c r="A561" s="19"/>
      <c r="B561" s="19"/>
      <c r="C561" s="19"/>
      <c r="D561" s="19"/>
      <c r="E561" s="19"/>
      <c r="F561" s="19"/>
    </row>
    <row r="562" spans="1:6" ht="15.75" customHeight="1" x14ac:dyDescent="0.3">
      <c r="A562" s="19"/>
      <c r="B562" s="19"/>
      <c r="C562" s="19"/>
      <c r="D562" s="19"/>
      <c r="E562" s="19"/>
      <c r="F562" s="19"/>
    </row>
    <row r="563" spans="1:6" ht="15.75" customHeight="1" x14ac:dyDescent="0.3">
      <c r="A563" s="19"/>
      <c r="B563" s="19"/>
      <c r="C563" s="19"/>
      <c r="D563" s="19"/>
      <c r="E563" s="19"/>
      <c r="F563" s="19"/>
    </row>
    <row r="564" spans="1:6" ht="15.75" customHeight="1" x14ac:dyDescent="0.3">
      <c r="A564" s="19"/>
      <c r="B564" s="19"/>
      <c r="C564" s="19"/>
      <c r="D564" s="19"/>
      <c r="E564" s="19"/>
      <c r="F564" s="19"/>
    </row>
    <row r="565" spans="1:6" ht="15.75" customHeight="1" x14ac:dyDescent="0.3">
      <c r="A565" s="19"/>
      <c r="B565" s="19"/>
      <c r="C565" s="19"/>
      <c r="D565" s="19"/>
      <c r="E565" s="19"/>
      <c r="F565" s="19"/>
    </row>
    <row r="566" spans="1:6" ht="15.75" customHeight="1" x14ac:dyDescent="0.3">
      <c r="A566" s="19"/>
      <c r="B566" s="19"/>
      <c r="C566" s="19"/>
      <c r="D566" s="19"/>
      <c r="E566" s="19"/>
      <c r="F566" s="19"/>
    </row>
    <row r="567" spans="1:6" ht="15.75" customHeight="1" x14ac:dyDescent="0.3">
      <c r="A567" s="19"/>
      <c r="B567" s="19"/>
      <c r="C567" s="19"/>
      <c r="D567" s="19"/>
      <c r="E567" s="19"/>
      <c r="F567" s="19"/>
    </row>
    <row r="568" spans="1:6" ht="15.75" customHeight="1" x14ac:dyDescent="0.3">
      <c r="A568" s="19"/>
      <c r="B568" s="19"/>
      <c r="C568" s="19"/>
      <c r="D568" s="19"/>
      <c r="E568" s="19"/>
      <c r="F568" s="19"/>
    </row>
    <row r="569" spans="1:6" ht="15.75" customHeight="1" x14ac:dyDescent="0.3">
      <c r="A569" s="19"/>
      <c r="B569" s="19"/>
      <c r="C569" s="19"/>
      <c r="D569" s="19"/>
      <c r="E569" s="19"/>
      <c r="F569" s="19"/>
    </row>
    <row r="570" spans="1:6" ht="15.75" customHeight="1" x14ac:dyDescent="0.3">
      <c r="A570" s="19"/>
      <c r="B570" s="19"/>
      <c r="C570" s="19"/>
      <c r="D570" s="19"/>
      <c r="E570" s="19"/>
      <c r="F570" s="19"/>
    </row>
    <row r="571" spans="1:6" ht="15.75" customHeight="1" x14ac:dyDescent="0.3">
      <c r="A571" s="19"/>
      <c r="B571" s="19"/>
      <c r="C571" s="19"/>
      <c r="D571" s="19"/>
      <c r="E571" s="19"/>
      <c r="F571" s="19"/>
    </row>
    <row r="572" spans="1:6" ht="15.75" customHeight="1" x14ac:dyDescent="0.3">
      <c r="A572" s="19"/>
      <c r="B572" s="19"/>
      <c r="C572" s="19"/>
      <c r="D572" s="19"/>
      <c r="E572" s="19"/>
      <c r="F572" s="19"/>
    </row>
    <row r="573" spans="1:6" ht="15.75" customHeight="1" x14ac:dyDescent="0.3">
      <c r="A573" s="19"/>
      <c r="B573" s="19"/>
      <c r="C573" s="19"/>
      <c r="D573" s="19"/>
      <c r="E573" s="19"/>
      <c r="F573" s="19"/>
    </row>
    <row r="574" spans="1:6" ht="15.75" customHeight="1" x14ac:dyDescent="0.3">
      <c r="A574" s="19"/>
      <c r="B574" s="19"/>
      <c r="C574" s="19"/>
      <c r="D574" s="19"/>
      <c r="E574" s="19"/>
      <c r="F574" s="19"/>
    </row>
    <row r="575" spans="1:6" ht="15.75" customHeight="1" x14ac:dyDescent="0.3">
      <c r="A575" s="19"/>
      <c r="B575" s="19"/>
      <c r="C575" s="19"/>
      <c r="D575" s="19"/>
      <c r="E575" s="19"/>
      <c r="F575" s="19"/>
    </row>
    <row r="576" spans="1:6" ht="15.75" customHeight="1" x14ac:dyDescent="0.3">
      <c r="A576" s="19"/>
      <c r="B576" s="19"/>
      <c r="C576" s="19"/>
      <c r="D576" s="19"/>
      <c r="E576" s="19"/>
      <c r="F576" s="19"/>
    </row>
    <row r="577" spans="1:6" ht="15.75" customHeight="1" x14ac:dyDescent="0.3">
      <c r="A577" s="19"/>
      <c r="B577" s="19"/>
      <c r="C577" s="19"/>
      <c r="D577" s="19"/>
      <c r="E577" s="19"/>
      <c r="F577" s="19"/>
    </row>
    <row r="578" spans="1:6" ht="15.75" customHeight="1" x14ac:dyDescent="0.3">
      <c r="A578" s="19"/>
      <c r="B578" s="19"/>
      <c r="C578" s="19"/>
      <c r="D578" s="19"/>
      <c r="E578" s="19"/>
      <c r="F578" s="19"/>
    </row>
    <row r="579" spans="1:6" ht="15.75" customHeight="1" x14ac:dyDescent="0.3">
      <c r="A579" s="19"/>
      <c r="B579" s="19"/>
      <c r="C579" s="19"/>
      <c r="D579" s="19"/>
      <c r="E579" s="19"/>
      <c r="F579" s="19"/>
    </row>
    <row r="580" spans="1:6" ht="15.75" customHeight="1" x14ac:dyDescent="0.3">
      <c r="A580" s="19"/>
      <c r="B580" s="19"/>
      <c r="C580" s="19"/>
      <c r="D580" s="19"/>
      <c r="E580" s="19"/>
      <c r="F580" s="19"/>
    </row>
    <row r="581" spans="1:6" ht="15.75" customHeight="1" x14ac:dyDescent="0.3">
      <c r="A581" s="19"/>
      <c r="B581" s="19"/>
      <c r="C581" s="19"/>
      <c r="D581" s="19"/>
      <c r="E581" s="19"/>
      <c r="F581" s="19"/>
    </row>
    <row r="582" spans="1:6" ht="15.75" customHeight="1" x14ac:dyDescent="0.3">
      <c r="A582" s="19"/>
      <c r="B582" s="19"/>
      <c r="C582" s="19"/>
      <c r="D582" s="19"/>
      <c r="E582" s="19"/>
      <c r="F582" s="19"/>
    </row>
    <row r="583" spans="1:6" ht="15.75" customHeight="1" x14ac:dyDescent="0.3">
      <c r="A583" s="19"/>
      <c r="B583" s="19"/>
      <c r="C583" s="19"/>
      <c r="D583" s="19"/>
      <c r="E583" s="19"/>
      <c r="F583" s="19"/>
    </row>
    <row r="584" spans="1:6" ht="15.75" customHeight="1" x14ac:dyDescent="0.3">
      <c r="A584" s="19"/>
      <c r="B584" s="19"/>
      <c r="C584" s="19"/>
      <c r="D584" s="19"/>
      <c r="E584" s="19"/>
      <c r="F584" s="19"/>
    </row>
    <row r="585" spans="1:6" ht="15.75" customHeight="1" x14ac:dyDescent="0.3">
      <c r="A585" s="19"/>
      <c r="B585" s="19"/>
      <c r="C585" s="19"/>
      <c r="D585" s="19"/>
      <c r="E585" s="19"/>
      <c r="F585" s="19"/>
    </row>
    <row r="586" spans="1:6" ht="15.75" customHeight="1" x14ac:dyDescent="0.3">
      <c r="A586" s="19"/>
      <c r="B586" s="19"/>
      <c r="C586" s="19"/>
      <c r="D586" s="19"/>
      <c r="E586" s="19"/>
      <c r="F586" s="19"/>
    </row>
    <row r="587" spans="1:6" ht="15.75" customHeight="1" x14ac:dyDescent="0.3">
      <c r="A587" s="19"/>
      <c r="B587" s="19"/>
      <c r="C587" s="19"/>
      <c r="D587" s="19"/>
      <c r="E587" s="19"/>
      <c r="F587" s="19"/>
    </row>
    <row r="588" spans="1:6" ht="15.75" customHeight="1" x14ac:dyDescent="0.3">
      <c r="A588" s="19"/>
      <c r="B588" s="19"/>
      <c r="C588" s="19"/>
      <c r="D588" s="19"/>
      <c r="E588" s="19"/>
      <c r="F588" s="19"/>
    </row>
    <row r="589" spans="1:6" ht="15.75" customHeight="1" x14ac:dyDescent="0.3">
      <c r="A589" s="19"/>
      <c r="B589" s="19"/>
      <c r="C589" s="19"/>
      <c r="D589" s="19"/>
      <c r="E589" s="19"/>
      <c r="F589" s="19"/>
    </row>
    <row r="590" spans="1:6" ht="15.75" customHeight="1" x14ac:dyDescent="0.3">
      <c r="A590" s="19"/>
      <c r="B590" s="19"/>
      <c r="C590" s="19"/>
      <c r="D590" s="19"/>
      <c r="E590" s="19"/>
      <c r="F590" s="19"/>
    </row>
    <row r="591" spans="1:6" ht="15.75" customHeight="1" x14ac:dyDescent="0.3">
      <c r="A591" s="19"/>
      <c r="B591" s="19"/>
      <c r="C591" s="19"/>
      <c r="D591" s="19"/>
      <c r="E591" s="19"/>
      <c r="F591" s="19"/>
    </row>
    <row r="592" spans="1:6" ht="15.75" customHeight="1" x14ac:dyDescent="0.3">
      <c r="A592" s="19"/>
      <c r="B592" s="19"/>
      <c r="C592" s="19"/>
      <c r="D592" s="19"/>
      <c r="E592" s="19"/>
      <c r="F592" s="19"/>
    </row>
    <row r="593" spans="1:6" ht="15.75" customHeight="1" x14ac:dyDescent="0.3">
      <c r="A593" s="19"/>
      <c r="B593" s="19"/>
      <c r="C593" s="19"/>
      <c r="D593" s="19"/>
      <c r="E593" s="19"/>
      <c r="F593" s="19"/>
    </row>
    <row r="594" spans="1:6" ht="15.75" customHeight="1" x14ac:dyDescent="0.3">
      <c r="A594" s="19"/>
      <c r="B594" s="19"/>
      <c r="C594" s="19"/>
      <c r="D594" s="19"/>
      <c r="E594" s="19"/>
      <c r="F594" s="19"/>
    </row>
    <row r="595" spans="1:6" ht="15.75" customHeight="1" x14ac:dyDescent="0.3">
      <c r="A595" s="19"/>
      <c r="B595" s="19"/>
      <c r="C595" s="19"/>
      <c r="D595" s="19"/>
      <c r="E595" s="19"/>
      <c r="F595" s="19"/>
    </row>
    <row r="596" spans="1:6" ht="15.75" customHeight="1" x14ac:dyDescent="0.3">
      <c r="A596" s="19"/>
      <c r="B596" s="19"/>
      <c r="C596" s="19"/>
      <c r="D596" s="19"/>
      <c r="E596" s="19"/>
      <c r="F596" s="19"/>
    </row>
    <row r="597" spans="1:6" ht="15.75" customHeight="1" x14ac:dyDescent="0.3">
      <c r="A597" s="19"/>
      <c r="B597" s="19"/>
      <c r="C597" s="19"/>
      <c r="D597" s="19"/>
      <c r="E597" s="19"/>
      <c r="F597" s="19"/>
    </row>
    <row r="598" spans="1:6" ht="15.75" customHeight="1" x14ac:dyDescent="0.3">
      <c r="A598" s="19"/>
      <c r="B598" s="19"/>
      <c r="C598" s="19"/>
      <c r="D598" s="19"/>
      <c r="E598" s="19"/>
      <c r="F598" s="19"/>
    </row>
    <row r="599" spans="1:6" ht="15.75" customHeight="1" x14ac:dyDescent="0.3">
      <c r="A599" s="19"/>
      <c r="B599" s="19"/>
      <c r="C599" s="19"/>
      <c r="D599" s="19"/>
      <c r="E599" s="19"/>
      <c r="F599" s="19"/>
    </row>
    <row r="600" spans="1:6" ht="15.75" customHeight="1" x14ac:dyDescent="0.3">
      <c r="A600" s="19"/>
      <c r="B600" s="19"/>
      <c r="C600" s="19"/>
      <c r="D600" s="19"/>
      <c r="E600" s="19"/>
      <c r="F600" s="19"/>
    </row>
    <row r="601" spans="1:6" ht="15.75" customHeight="1" x14ac:dyDescent="0.3">
      <c r="A601" s="19"/>
      <c r="B601" s="19"/>
      <c r="C601" s="19"/>
      <c r="D601" s="19"/>
      <c r="E601" s="19"/>
      <c r="F601" s="19"/>
    </row>
    <row r="602" spans="1:6" ht="15.75" customHeight="1" x14ac:dyDescent="0.3">
      <c r="A602" s="19"/>
      <c r="B602" s="19"/>
      <c r="C602" s="19"/>
      <c r="D602" s="19"/>
      <c r="E602" s="19"/>
      <c r="F602" s="19"/>
    </row>
    <row r="603" spans="1:6" ht="15.75" customHeight="1" x14ac:dyDescent="0.3">
      <c r="A603" s="19"/>
      <c r="B603" s="19"/>
      <c r="C603" s="19"/>
      <c r="D603" s="19"/>
      <c r="E603" s="19"/>
      <c r="F603" s="19"/>
    </row>
    <row r="604" spans="1:6" ht="15.75" customHeight="1" x14ac:dyDescent="0.3">
      <c r="A604" s="19"/>
      <c r="B604" s="19"/>
      <c r="C604" s="19"/>
      <c r="D604" s="19"/>
      <c r="E604" s="19"/>
      <c r="F604" s="19"/>
    </row>
    <row r="605" spans="1:6" ht="15.75" customHeight="1" x14ac:dyDescent="0.3">
      <c r="A605" s="19"/>
      <c r="B605" s="19"/>
      <c r="C605" s="19"/>
      <c r="D605" s="19"/>
      <c r="E605" s="19"/>
      <c r="F605" s="19"/>
    </row>
    <row r="606" spans="1:6" ht="15.75" customHeight="1" x14ac:dyDescent="0.3">
      <c r="A606" s="19"/>
      <c r="B606" s="19"/>
      <c r="C606" s="19"/>
      <c r="D606" s="19"/>
      <c r="E606" s="19"/>
      <c r="F606" s="19"/>
    </row>
    <row r="607" spans="1:6" ht="15.75" customHeight="1" x14ac:dyDescent="0.3">
      <c r="A607" s="19"/>
      <c r="B607" s="19"/>
      <c r="C607" s="19"/>
      <c r="D607" s="19"/>
      <c r="E607" s="19"/>
      <c r="F607" s="19"/>
    </row>
    <row r="608" spans="1:6" ht="15.75" customHeight="1" x14ac:dyDescent="0.3">
      <c r="A608" s="19"/>
      <c r="B608" s="19"/>
      <c r="C608" s="19"/>
      <c r="D608" s="19"/>
      <c r="E608" s="19"/>
      <c r="F608" s="19"/>
    </row>
    <row r="609" spans="1:6" ht="15.75" customHeight="1" x14ac:dyDescent="0.3">
      <c r="A609" s="19"/>
      <c r="B609" s="19"/>
      <c r="C609" s="19"/>
      <c r="D609" s="19"/>
      <c r="E609" s="19"/>
      <c r="F609" s="19"/>
    </row>
    <row r="610" spans="1:6" ht="15.75" customHeight="1" x14ac:dyDescent="0.3">
      <c r="A610" s="19"/>
      <c r="B610" s="19"/>
      <c r="C610" s="19"/>
      <c r="D610" s="19"/>
      <c r="E610" s="19"/>
      <c r="F610" s="19"/>
    </row>
    <row r="611" spans="1:6" ht="15.75" customHeight="1" x14ac:dyDescent="0.3">
      <c r="A611" s="19"/>
      <c r="B611" s="19"/>
      <c r="C611" s="19"/>
      <c r="D611" s="19"/>
      <c r="E611" s="19"/>
      <c r="F611" s="19"/>
    </row>
    <row r="612" spans="1:6" ht="15.75" customHeight="1" x14ac:dyDescent="0.3">
      <c r="A612" s="19"/>
      <c r="B612" s="19"/>
      <c r="C612" s="19"/>
      <c r="D612" s="19"/>
      <c r="E612" s="19"/>
      <c r="F612" s="19"/>
    </row>
    <row r="613" spans="1:6" ht="15.75" customHeight="1" x14ac:dyDescent="0.3">
      <c r="A613" s="19"/>
      <c r="B613" s="19"/>
      <c r="C613" s="19"/>
      <c r="D613" s="19"/>
      <c r="E613" s="19"/>
      <c r="F613" s="19"/>
    </row>
    <row r="614" spans="1:6" ht="15.75" customHeight="1" x14ac:dyDescent="0.3">
      <c r="A614" s="19"/>
      <c r="B614" s="19"/>
      <c r="C614" s="19"/>
      <c r="D614" s="19"/>
      <c r="E614" s="19"/>
      <c r="F614" s="19"/>
    </row>
    <row r="615" spans="1:6" ht="15.75" customHeight="1" x14ac:dyDescent="0.3">
      <c r="A615" s="19"/>
      <c r="B615" s="19"/>
      <c r="C615" s="19"/>
      <c r="D615" s="19"/>
      <c r="E615" s="19"/>
      <c r="F615" s="19"/>
    </row>
    <row r="616" spans="1:6" ht="15.75" customHeight="1" x14ac:dyDescent="0.3">
      <c r="A616" s="19"/>
      <c r="B616" s="19"/>
      <c r="C616" s="19"/>
      <c r="D616" s="19"/>
      <c r="E616" s="19"/>
      <c r="F616" s="19"/>
    </row>
    <row r="617" spans="1:6" ht="15.75" customHeight="1" x14ac:dyDescent="0.3">
      <c r="A617" s="19"/>
      <c r="B617" s="19"/>
      <c r="C617" s="19"/>
      <c r="D617" s="19"/>
      <c r="E617" s="19"/>
      <c r="F617" s="19"/>
    </row>
    <row r="618" spans="1:6" ht="15.75" customHeight="1" x14ac:dyDescent="0.3">
      <c r="A618" s="19"/>
      <c r="B618" s="19"/>
      <c r="C618" s="19"/>
      <c r="D618" s="19"/>
      <c r="E618" s="19"/>
      <c r="F618" s="19"/>
    </row>
    <row r="619" spans="1:6" ht="15.75" customHeight="1" x14ac:dyDescent="0.3">
      <c r="A619" s="19"/>
      <c r="B619" s="19"/>
      <c r="C619" s="19"/>
      <c r="D619" s="19"/>
      <c r="E619" s="19"/>
      <c r="F619" s="19"/>
    </row>
    <row r="620" spans="1:6" ht="15.75" customHeight="1" x14ac:dyDescent="0.3">
      <c r="A620" s="19"/>
      <c r="B620" s="19"/>
      <c r="C620" s="19"/>
      <c r="D620" s="19"/>
      <c r="E620" s="19"/>
      <c r="F620" s="19"/>
    </row>
    <row r="621" spans="1:6" ht="15.75" customHeight="1" x14ac:dyDescent="0.3">
      <c r="A621" s="19"/>
      <c r="B621" s="19"/>
      <c r="C621" s="19"/>
      <c r="D621" s="19"/>
      <c r="E621" s="19"/>
      <c r="F621" s="19"/>
    </row>
    <row r="622" spans="1:6" ht="15.75" customHeight="1" x14ac:dyDescent="0.3">
      <c r="A622" s="19"/>
      <c r="B622" s="19"/>
      <c r="C622" s="19"/>
      <c r="D622" s="19"/>
      <c r="E622" s="19"/>
      <c r="F622" s="19"/>
    </row>
    <row r="623" spans="1:6" ht="15.75" customHeight="1" x14ac:dyDescent="0.3">
      <c r="A623" s="19"/>
      <c r="B623" s="19"/>
      <c r="C623" s="19"/>
      <c r="D623" s="19"/>
      <c r="E623" s="19"/>
      <c r="F623" s="19"/>
    </row>
    <row r="624" spans="1:6" ht="15.75" customHeight="1" x14ac:dyDescent="0.3">
      <c r="A624" s="19"/>
      <c r="B624" s="19"/>
      <c r="C624" s="19"/>
      <c r="D624" s="19"/>
      <c r="E624" s="19"/>
      <c r="F624" s="19"/>
    </row>
    <row r="625" spans="1:6" ht="15.75" customHeight="1" x14ac:dyDescent="0.3">
      <c r="A625" s="19"/>
      <c r="B625" s="19"/>
      <c r="C625" s="19"/>
      <c r="D625" s="19"/>
      <c r="E625" s="19"/>
      <c r="F625" s="19"/>
    </row>
    <row r="626" spans="1:6" ht="15.75" customHeight="1" x14ac:dyDescent="0.3">
      <c r="A626" s="19"/>
      <c r="B626" s="19"/>
      <c r="C626" s="19"/>
      <c r="D626" s="19"/>
      <c r="E626" s="19"/>
      <c r="F626" s="19"/>
    </row>
    <row r="627" spans="1:6" ht="15.75" customHeight="1" x14ac:dyDescent="0.3">
      <c r="A627" s="19"/>
      <c r="B627" s="19"/>
      <c r="C627" s="19"/>
      <c r="D627" s="19"/>
      <c r="E627" s="19"/>
      <c r="F627" s="19"/>
    </row>
    <row r="628" spans="1:6" ht="15.75" customHeight="1" x14ac:dyDescent="0.3">
      <c r="A628" s="19"/>
      <c r="B628" s="19"/>
      <c r="C628" s="19"/>
      <c r="D628" s="19"/>
      <c r="E628" s="19"/>
      <c r="F628" s="19"/>
    </row>
    <row r="629" spans="1:6" ht="15.75" customHeight="1" x14ac:dyDescent="0.3">
      <c r="A629" s="19"/>
      <c r="B629" s="19"/>
      <c r="C629" s="19"/>
      <c r="D629" s="19"/>
      <c r="E629" s="19"/>
      <c r="F629" s="19"/>
    </row>
    <row r="630" spans="1:6" ht="15.75" customHeight="1" x14ac:dyDescent="0.3">
      <c r="A630" s="19"/>
      <c r="B630" s="19"/>
      <c r="C630" s="19"/>
      <c r="D630" s="19"/>
      <c r="E630" s="19"/>
      <c r="F630" s="19"/>
    </row>
    <row r="631" spans="1:6" ht="15.75" customHeight="1" x14ac:dyDescent="0.3">
      <c r="A631" s="19"/>
      <c r="B631" s="19"/>
      <c r="C631" s="19"/>
      <c r="D631" s="19"/>
      <c r="E631" s="19"/>
      <c r="F631" s="19"/>
    </row>
    <row r="632" spans="1:6" ht="15.75" customHeight="1" x14ac:dyDescent="0.3">
      <c r="A632" s="19"/>
      <c r="B632" s="19"/>
      <c r="C632" s="19"/>
      <c r="D632" s="19"/>
      <c r="E632" s="19"/>
      <c r="F632" s="19"/>
    </row>
    <row r="633" spans="1:6" ht="15.75" customHeight="1" x14ac:dyDescent="0.3">
      <c r="A633" s="19"/>
      <c r="B633" s="19"/>
      <c r="C633" s="19"/>
      <c r="D633" s="19"/>
      <c r="E633" s="19"/>
      <c r="F633" s="19"/>
    </row>
    <row r="634" spans="1:6" ht="15.75" customHeight="1" x14ac:dyDescent="0.3">
      <c r="A634" s="19"/>
      <c r="B634" s="19"/>
      <c r="C634" s="19"/>
      <c r="D634" s="19"/>
      <c r="E634" s="19"/>
      <c r="F634" s="19"/>
    </row>
    <row r="635" spans="1:6" ht="15.75" customHeight="1" x14ac:dyDescent="0.3">
      <c r="A635" s="19"/>
      <c r="B635" s="19"/>
      <c r="C635" s="19"/>
      <c r="D635" s="19"/>
      <c r="E635" s="19"/>
      <c r="F635" s="19"/>
    </row>
    <row r="636" spans="1:6" ht="15.75" customHeight="1" x14ac:dyDescent="0.3">
      <c r="A636" s="19"/>
      <c r="B636" s="19"/>
      <c r="C636" s="19"/>
      <c r="D636" s="19"/>
      <c r="E636" s="19"/>
      <c r="F636" s="19"/>
    </row>
    <row r="637" spans="1:6" ht="15.75" customHeight="1" x14ac:dyDescent="0.3">
      <c r="A637" s="19"/>
      <c r="B637" s="19"/>
      <c r="C637" s="19"/>
      <c r="D637" s="19"/>
      <c r="E637" s="19"/>
      <c r="F637" s="19"/>
    </row>
    <row r="638" spans="1:6" ht="15.75" customHeight="1" x14ac:dyDescent="0.3">
      <c r="A638" s="19"/>
      <c r="B638" s="19"/>
      <c r="C638" s="19"/>
      <c r="D638" s="19"/>
      <c r="E638" s="19"/>
      <c r="F638" s="19"/>
    </row>
    <row r="639" spans="1:6" ht="15.75" customHeight="1" x14ac:dyDescent="0.3">
      <c r="A639" s="19"/>
      <c r="B639" s="19"/>
      <c r="C639" s="19"/>
      <c r="D639" s="19"/>
      <c r="E639" s="19"/>
      <c r="F639" s="19"/>
    </row>
    <row r="640" spans="1:6" ht="15.75" customHeight="1" x14ac:dyDescent="0.3">
      <c r="A640" s="19"/>
      <c r="B640" s="19"/>
      <c r="C640" s="19"/>
      <c r="D640" s="19"/>
      <c r="E640" s="19"/>
      <c r="F640" s="19"/>
    </row>
    <row r="641" spans="1:6" ht="15.75" customHeight="1" x14ac:dyDescent="0.3">
      <c r="A641" s="19"/>
      <c r="B641" s="19"/>
      <c r="C641" s="19"/>
      <c r="D641" s="19"/>
      <c r="E641" s="19"/>
      <c r="F641" s="19"/>
    </row>
    <row r="642" spans="1:6" ht="15.75" customHeight="1" x14ac:dyDescent="0.3">
      <c r="A642" s="19"/>
      <c r="B642" s="19"/>
      <c r="C642" s="19"/>
      <c r="D642" s="19"/>
      <c r="E642" s="19"/>
      <c r="F642" s="19"/>
    </row>
    <row r="643" spans="1:6" ht="15.75" customHeight="1" x14ac:dyDescent="0.3">
      <c r="A643" s="19"/>
      <c r="B643" s="19"/>
      <c r="C643" s="19"/>
      <c r="D643" s="19"/>
      <c r="E643" s="19"/>
      <c r="F643" s="19"/>
    </row>
    <row r="644" spans="1:6" ht="15.75" customHeight="1" x14ac:dyDescent="0.3">
      <c r="A644" s="19"/>
      <c r="B644" s="19"/>
      <c r="C644" s="19"/>
      <c r="D644" s="19"/>
      <c r="E644" s="19"/>
      <c r="F644" s="19"/>
    </row>
    <row r="645" spans="1:6" ht="15.75" customHeight="1" x14ac:dyDescent="0.3">
      <c r="A645" s="19"/>
      <c r="B645" s="19"/>
      <c r="C645" s="19"/>
      <c r="D645" s="19"/>
      <c r="E645" s="19"/>
      <c r="F645" s="19"/>
    </row>
    <row r="646" spans="1:6" ht="15.75" customHeight="1" x14ac:dyDescent="0.3">
      <c r="A646" s="19"/>
      <c r="B646" s="19"/>
      <c r="C646" s="19"/>
      <c r="D646" s="19"/>
      <c r="E646" s="19"/>
      <c r="F646" s="19"/>
    </row>
    <row r="647" spans="1:6" ht="15.75" customHeight="1" x14ac:dyDescent="0.3">
      <c r="A647" s="19"/>
      <c r="B647" s="19"/>
      <c r="C647" s="19"/>
      <c r="D647" s="19"/>
      <c r="E647" s="19"/>
      <c r="F647" s="19"/>
    </row>
    <row r="648" spans="1:6" ht="15.75" customHeight="1" x14ac:dyDescent="0.3">
      <c r="A648" s="19"/>
      <c r="B648" s="19"/>
      <c r="C648" s="19"/>
      <c r="D648" s="19"/>
      <c r="E648" s="19"/>
      <c r="F648" s="19"/>
    </row>
    <row r="649" spans="1:6" ht="15.75" customHeight="1" x14ac:dyDescent="0.3">
      <c r="A649" s="19"/>
      <c r="B649" s="19"/>
      <c r="C649" s="19"/>
      <c r="D649" s="19"/>
      <c r="E649" s="19"/>
      <c r="F649" s="19"/>
    </row>
    <row r="650" spans="1:6" ht="15.75" customHeight="1" x14ac:dyDescent="0.3">
      <c r="A650" s="19"/>
      <c r="B650" s="19"/>
      <c r="C650" s="19"/>
      <c r="D650" s="19"/>
      <c r="E650" s="19"/>
      <c r="F650" s="19"/>
    </row>
    <row r="651" spans="1:6" ht="15.75" customHeight="1" x14ac:dyDescent="0.3">
      <c r="A651" s="19"/>
      <c r="B651" s="19"/>
      <c r="C651" s="19"/>
      <c r="D651" s="19"/>
      <c r="E651" s="19"/>
      <c r="F651" s="19"/>
    </row>
    <row r="652" spans="1:6" ht="15.75" customHeight="1" x14ac:dyDescent="0.3">
      <c r="A652" s="19"/>
      <c r="B652" s="19"/>
      <c r="C652" s="19"/>
      <c r="D652" s="19"/>
      <c r="E652" s="19"/>
      <c r="F652" s="19"/>
    </row>
    <row r="653" spans="1:6" ht="15.75" customHeight="1" x14ac:dyDescent="0.3">
      <c r="A653" s="19"/>
      <c r="B653" s="19"/>
      <c r="C653" s="19"/>
      <c r="D653" s="19"/>
      <c r="E653" s="19"/>
      <c r="F653" s="19"/>
    </row>
    <row r="654" spans="1:6" ht="15.75" customHeight="1" x14ac:dyDescent="0.3">
      <c r="A654" s="19"/>
      <c r="B654" s="19"/>
      <c r="C654" s="19"/>
      <c r="D654" s="19"/>
      <c r="E654" s="19"/>
      <c r="F654" s="19"/>
    </row>
    <row r="655" spans="1:6" ht="15.75" customHeight="1" x14ac:dyDescent="0.3">
      <c r="A655" s="19"/>
      <c r="B655" s="19"/>
      <c r="C655" s="19"/>
      <c r="D655" s="19"/>
      <c r="E655" s="19"/>
      <c r="F655" s="19"/>
    </row>
    <row r="656" spans="1:6" ht="15.75" customHeight="1" x14ac:dyDescent="0.3">
      <c r="A656" s="19"/>
      <c r="B656" s="19"/>
      <c r="C656" s="19"/>
      <c r="D656" s="19"/>
      <c r="E656" s="19"/>
      <c r="F656" s="19"/>
    </row>
    <row r="657" spans="1:6" ht="15.75" customHeight="1" x14ac:dyDescent="0.3">
      <c r="A657" s="19"/>
      <c r="B657" s="19"/>
      <c r="C657" s="19"/>
      <c r="D657" s="19"/>
      <c r="E657" s="19"/>
      <c r="F657" s="19"/>
    </row>
    <row r="658" spans="1:6" ht="15.75" customHeight="1" x14ac:dyDescent="0.3">
      <c r="A658" s="19"/>
      <c r="B658" s="19"/>
      <c r="C658" s="19"/>
      <c r="D658" s="19"/>
      <c r="E658" s="19"/>
      <c r="F658" s="19"/>
    </row>
    <row r="659" spans="1:6" ht="15.75" customHeight="1" x14ac:dyDescent="0.3">
      <c r="A659" s="19"/>
      <c r="B659" s="19"/>
      <c r="C659" s="19"/>
      <c r="D659" s="19"/>
      <c r="E659" s="19"/>
      <c r="F659" s="19"/>
    </row>
    <row r="660" spans="1:6" ht="15.75" customHeight="1" x14ac:dyDescent="0.3">
      <c r="A660" s="19"/>
      <c r="B660" s="19"/>
      <c r="C660" s="19"/>
      <c r="D660" s="19"/>
      <c r="E660" s="19"/>
      <c r="F660" s="19"/>
    </row>
    <row r="661" spans="1:6" ht="15.75" customHeight="1" x14ac:dyDescent="0.3">
      <c r="A661" s="19"/>
      <c r="B661" s="19"/>
      <c r="C661" s="19"/>
      <c r="D661" s="19"/>
      <c r="E661" s="19"/>
      <c r="F661" s="19"/>
    </row>
    <row r="662" spans="1:6" ht="15.75" customHeight="1" x14ac:dyDescent="0.3">
      <c r="A662" s="19"/>
      <c r="B662" s="19"/>
      <c r="C662" s="19"/>
      <c r="D662" s="19"/>
      <c r="E662" s="19"/>
      <c r="F662" s="19"/>
    </row>
    <row r="663" spans="1:6" ht="15.75" customHeight="1" x14ac:dyDescent="0.3">
      <c r="A663" s="19"/>
      <c r="B663" s="19"/>
      <c r="C663" s="19"/>
      <c r="D663" s="19"/>
      <c r="E663" s="19"/>
      <c r="F663" s="19"/>
    </row>
    <row r="664" spans="1:6" ht="15.75" customHeight="1" x14ac:dyDescent="0.3">
      <c r="A664" s="19"/>
      <c r="B664" s="19"/>
      <c r="C664" s="19"/>
      <c r="D664" s="19"/>
      <c r="E664" s="19"/>
      <c r="F664" s="19"/>
    </row>
    <row r="665" spans="1:6" ht="15.75" customHeight="1" x14ac:dyDescent="0.3">
      <c r="A665" s="19"/>
      <c r="B665" s="19"/>
      <c r="C665" s="19"/>
      <c r="D665" s="19"/>
      <c r="E665" s="19"/>
      <c r="F665" s="19"/>
    </row>
    <row r="666" spans="1:6" ht="15.75" customHeight="1" x14ac:dyDescent="0.3">
      <c r="A666" s="19"/>
      <c r="B666" s="19"/>
      <c r="C666" s="19"/>
      <c r="D666" s="19"/>
      <c r="E666" s="19"/>
      <c r="F666" s="19"/>
    </row>
    <row r="667" spans="1:6" ht="15.75" customHeight="1" x14ac:dyDescent="0.3">
      <c r="A667" s="19"/>
      <c r="B667" s="19"/>
      <c r="C667" s="19"/>
      <c r="D667" s="19"/>
      <c r="E667" s="19"/>
      <c r="F667" s="19"/>
    </row>
    <row r="668" spans="1:6" ht="15.75" customHeight="1" x14ac:dyDescent="0.3">
      <c r="A668" s="19"/>
      <c r="B668" s="19"/>
      <c r="C668" s="19"/>
      <c r="D668" s="19"/>
      <c r="E668" s="19"/>
      <c r="F668" s="19"/>
    </row>
    <row r="669" spans="1:6" ht="15.75" customHeight="1" x14ac:dyDescent="0.3">
      <c r="A669" s="19"/>
      <c r="B669" s="19"/>
      <c r="C669" s="19"/>
      <c r="D669" s="19"/>
      <c r="E669" s="19"/>
      <c r="F669" s="19"/>
    </row>
    <row r="670" spans="1:6" ht="15.75" customHeight="1" x14ac:dyDescent="0.3">
      <c r="A670" s="19"/>
      <c r="B670" s="19"/>
      <c r="C670" s="19"/>
      <c r="D670" s="19"/>
      <c r="E670" s="19"/>
      <c r="F670" s="19"/>
    </row>
    <row r="671" spans="1:6" ht="15.75" customHeight="1" x14ac:dyDescent="0.3">
      <c r="A671" s="19"/>
      <c r="B671" s="19"/>
      <c r="C671" s="19"/>
      <c r="D671" s="19"/>
      <c r="E671" s="19"/>
      <c r="F671" s="19"/>
    </row>
    <row r="672" spans="1:6" ht="15.75" customHeight="1" x14ac:dyDescent="0.3">
      <c r="A672" s="19"/>
      <c r="B672" s="19"/>
      <c r="C672" s="19"/>
      <c r="D672" s="19"/>
      <c r="E672" s="19"/>
      <c r="F672" s="19"/>
    </row>
    <row r="673" spans="1:6" ht="15.75" customHeight="1" x14ac:dyDescent="0.3">
      <c r="A673" s="19"/>
      <c r="B673" s="19"/>
      <c r="C673" s="19"/>
      <c r="D673" s="19"/>
      <c r="E673" s="19"/>
      <c r="F673" s="19"/>
    </row>
    <row r="674" spans="1:6" ht="15.75" customHeight="1" x14ac:dyDescent="0.3">
      <c r="A674" s="19"/>
      <c r="B674" s="19"/>
      <c r="C674" s="19"/>
      <c r="D674" s="19"/>
      <c r="E674" s="19"/>
      <c r="F674" s="19"/>
    </row>
    <row r="675" spans="1:6" ht="15.75" customHeight="1" x14ac:dyDescent="0.3">
      <c r="A675" s="19"/>
      <c r="B675" s="19"/>
      <c r="C675" s="19"/>
      <c r="D675" s="19"/>
      <c r="E675" s="19"/>
      <c r="F675" s="19"/>
    </row>
    <row r="676" spans="1:6" ht="15.75" customHeight="1" x14ac:dyDescent="0.3">
      <c r="A676" s="19"/>
      <c r="B676" s="19"/>
      <c r="C676" s="19"/>
      <c r="D676" s="19"/>
      <c r="E676" s="19"/>
      <c r="F676" s="19"/>
    </row>
    <row r="677" spans="1:6" ht="15.75" customHeight="1" x14ac:dyDescent="0.3">
      <c r="A677" s="19"/>
      <c r="B677" s="19"/>
      <c r="C677" s="19"/>
      <c r="D677" s="19"/>
      <c r="E677" s="19"/>
      <c r="F677" s="19"/>
    </row>
    <row r="678" spans="1:6" ht="15.75" customHeight="1" x14ac:dyDescent="0.3">
      <c r="A678" s="19"/>
      <c r="B678" s="19"/>
      <c r="C678" s="19"/>
      <c r="D678" s="19"/>
      <c r="E678" s="19"/>
      <c r="F678" s="19"/>
    </row>
    <row r="679" spans="1:6" ht="15.75" customHeight="1" x14ac:dyDescent="0.3">
      <c r="A679" s="19"/>
      <c r="B679" s="19"/>
      <c r="C679" s="19"/>
      <c r="D679" s="19"/>
      <c r="E679" s="19"/>
      <c r="F679" s="19"/>
    </row>
    <row r="680" spans="1:6" ht="15.75" customHeight="1" x14ac:dyDescent="0.3">
      <c r="A680" s="19"/>
      <c r="B680" s="19"/>
      <c r="C680" s="19"/>
      <c r="D680" s="19"/>
      <c r="E680" s="19"/>
      <c r="F680" s="19"/>
    </row>
    <row r="681" spans="1:6" ht="15.75" customHeight="1" x14ac:dyDescent="0.3">
      <c r="A681" s="19"/>
      <c r="B681" s="19"/>
      <c r="C681" s="19"/>
      <c r="D681" s="19"/>
      <c r="E681" s="19"/>
      <c r="F681" s="19"/>
    </row>
    <row r="682" spans="1:6" ht="15.75" customHeight="1" x14ac:dyDescent="0.3">
      <c r="A682" s="19"/>
      <c r="B682" s="19"/>
      <c r="C682" s="19"/>
      <c r="D682" s="19"/>
      <c r="E682" s="19"/>
      <c r="F682" s="19"/>
    </row>
    <row r="683" spans="1:6" ht="15.75" customHeight="1" x14ac:dyDescent="0.3">
      <c r="A683" s="19"/>
      <c r="B683" s="19"/>
      <c r="C683" s="19"/>
      <c r="D683" s="19"/>
      <c r="E683" s="19"/>
      <c r="F683" s="19"/>
    </row>
    <row r="684" spans="1:6" ht="15.75" customHeight="1" x14ac:dyDescent="0.3">
      <c r="A684" s="19"/>
      <c r="B684" s="19"/>
      <c r="C684" s="19"/>
      <c r="D684" s="19"/>
      <c r="E684" s="19"/>
      <c r="F684" s="19"/>
    </row>
    <row r="685" spans="1:6" ht="15.75" customHeight="1" x14ac:dyDescent="0.3">
      <c r="A685" s="19"/>
      <c r="B685" s="19"/>
      <c r="C685" s="19"/>
      <c r="D685" s="19"/>
      <c r="E685" s="19"/>
      <c r="F685" s="19"/>
    </row>
    <row r="686" spans="1:6" ht="15.75" customHeight="1" x14ac:dyDescent="0.3">
      <c r="A686" s="19"/>
      <c r="B686" s="19"/>
      <c r="C686" s="19"/>
      <c r="D686" s="19"/>
      <c r="E686" s="19"/>
      <c r="F686" s="19"/>
    </row>
    <row r="687" spans="1:6" ht="15.75" customHeight="1" x14ac:dyDescent="0.3">
      <c r="A687" s="19"/>
      <c r="B687" s="19"/>
      <c r="C687" s="19"/>
      <c r="D687" s="19"/>
      <c r="E687" s="19"/>
      <c r="F687" s="19"/>
    </row>
    <row r="688" spans="1:6" ht="15.75" customHeight="1" x14ac:dyDescent="0.3">
      <c r="A688" s="19"/>
      <c r="B688" s="19"/>
      <c r="C688" s="19"/>
      <c r="D688" s="19"/>
      <c r="E688" s="19"/>
      <c r="F688" s="19"/>
    </row>
    <row r="689" spans="1:6" ht="15.75" customHeight="1" x14ac:dyDescent="0.3">
      <c r="A689" s="19"/>
      <c r="B689" s="19"/>
      <c r="C689" s="19"/>
      <c r="D689" s="19"/>
      <c r="E689" s="19"/>
      <c r="F689" s="19"/>
    </row>
    <row r="690" spans="1:6" ht="15.75" customHeight="1" x14ac:dyDescent="0.3">
      <c r="A690" s="19"/>
      <c r="B690" s="19"/>
      <c r="C690" s="19"/>
      <c r="D690" s="19"/>
      <c r="E690" s="19"/>
      <c r="F690" s="19"/>
    </row>
    <row r="691" spans="1:6" ht="15.75" customHeight="1" x14ac:dyDescent="0.3">
      <c r="A691" s="19"/>
      <c r="B691" s="19"/>
      <c r="C691" s="19"/>
      <c r="D691" s="19"/>
      <c r="E691" s="19"/>
      <c r="F691" s="19"/>
    </row>
    <row r="692" spans="1:6" ht="15.75" customHeight="1" x14ac:dyDescent="0.3">
      <c r="A692" s="19"/>
      <c r="B692" s="19"/>
      <c r="C692" s="19"/>
      <c r="D692" s="19"/>
      <c r="E692" s="19"/>
      <c r="F692" s="19"/>
    </row>
    <row r="693" spans="1:6" ht="15.75" customHeight="1" x14ac:dyDescent="0.3">
      <c r="A693" s="19"/>
      <c r="B693" s="19"/>
      <c r="C693" s="19"/>
      <c r="D693" s="19"/>
      <c r="E693" s="19"/>
      <c r="F693" s="19"/>
    </row>
    <row r="694" spans="1:6" ht="15.75" customHeight="1" x14ac:dyDescent="0.3">
      <c r="A694" s="19"/>
      <c r="B694" s="19"/>
      <c r="C694" s="19"/>
      <c r="D694" s="19"/>
      <c r="E694" s="19"/>
      <c r="F694" s="19"/>
    </row>
    <row r="695" spans="1:6" ht="15.75" customHeight="1" x14ac:dyDescent="0.3">
      <c r="A695" s="19"/>
      <c r="B695" s="19"/>
      <c r="C695" s="19"/>
      <c r="D695" s="19"/>
      <c r="E695" s="19"/>
      <c r="F695" s="19"/>
    </row>
    <row r="696" spans="1:6" ht="15.75" customHeight="1" x14ac:dyDescent="0.3">
      <c r="A696" s="19"/>
      <c r="B696" s="19"/>
      <c r="C696" s="19"/>
      <c r="D696" s="19"/>
      <c r="E696" s="19"/>
      <c r="F696" s="19"/>
    </row>
    <row r="697" spans="1:6" ht="15.75" customHeight="1" x14ac:dyDescent="0.3">
      <c r="A697" s="19"/>
      <c r="B697" s="19"/>
      <c r="C697" s="19"/>
      <c r="D697" s="19"/>
      <c r="E697" s="19"/>
      <c r="F697" s="19"/>
    </row>
    <row r="698" spans="1:6" ht="15.75" customHeight="1" x14ac:dyDescent="0.3">
      <c r="A698" s="19"/>
      <c r="B698" s="19"/>
      <c r="C698" s="19"/>
      <c r="D698" s="19"/>
      <c r="E698" s="19"/>
      <c r="F698" s="19"/>
    </row>
    <row r="699" spans="1:6" ht="15.75" customHeight="1" x14ac:dyDescent="0.3">
      <c r="A699" s="19"/>
      <c r="B699" s="19"/>
      <c r="C699" s="19"/>
      <c r="D699" s="19"/>
      <c r="E699" s="19"/>
      <c r="F699" s="19"/>
    </row>
    <row r="700" spans="1:6" ht="15.75" customHeight="1" x14ac:dyDescent="0.3">
      <c r="A700" s="19"/>
      <c r="B700" s="19"/>
      <c r="C700" s="19"/>
      <c r="D700" s="19"/>
      <c r="E700" s="19"/>
      <c r="F700" s="19"/>
    </row>
    <row r="701" spans="1:6" ht="15.75" customHeight="1" x14ac:dyDescent="0.3">
      <c r="A701" s="19"/>
      <c r="B701" s="19"/>
      <c r="C701" s="19"/>
      <c r="D701" s="19"/>
      <c r="E701" s="19"/>
      <c r="F701" s="19"/>
    </row>
    <row r="702" spans="1:6" ht="15.75" customHeight="1" x14ac:dyDescent="0.3">
      <c r="A702" s="19"/>
      <c r="B702" s="19"/>
      <c r="C702" s="19"/>
      <c r="D702" s="19"/>
      <c r="E702" s="19"/>
      <c r="F702" s="19"/>
    </row>
    <row r="703" spans="1:6" ht="15.75" customHeight="1" x14ac:dyDescent="0.3">
      <c r="A703" s="19"/>
      <c r="B703" s="19"/>
      <c r="C703" s="19"/>
      <c r="D703" s="19"/>
      <c r="E703" s="19"/>
      <c r="F703" s="19"/>
    </row>
    <row r="704" spans="1:6" ht="15.75" customHeight="1" x14ac:dyDescent="0.3">
      <c r="A704" s="19"/>
      <c r="B704" s="19"/>
      <c r="C704" s="19"/>
      <c r="D704" s="19"/>
      <c r="E704" s="19"/>
      <c r="F704" s="19"/>
    </row>
    <row r="705" spans="1:6" ht="15.75" customHeight="1" x14ac:dyDescent="0.3">
      <c r="A705" s="19"/>
      <c r="B705" s="19"/>
      <c r="C705" s="19"/>
      <c r="D705" s="19"/>
      <c r="E705" s="19"/>
      <c r="F705" s="19"/>
    </row>
    <row r="706" spans="1:6" ht="15.75" customHeight="1" x14ac:dyDescent="0.3">
      <c r="A706" s="19"/>
      <c r="B706" s="19"/>
      <c r="C706" s="19"/>
      <c r="D706" s="19"/>
      <c r="E706" s="19"/>
      <c r="F706" s="19"/>
    </row>
    <row r="707" spans="1:6" ht="15.75" customHeight="1" x14ac:dyDescent="0.3">
      <c r="A707" s="19"/>
      <c r="B707" s="19"/>
      <c r="C707" s="19"/>
      <c r="D707" s="19"/>
      <c r="E707" s="19"/>
      <c r="F707" s="19"/>
    </row>
    <row r="708" spans="1:6" ht="15.75" customHeight="1" x14ac:dyDescent="0.3">
      <c r="A708" s="19"/>
      <c r="B708" s="19"/>
      <c r="C708" s="19"/>
      <c r="D708" s="19"/>
      <c r="E708" s="19"/>
      <c r="F708" s="19"/>
    </row>
    <row r="709" spans="1:6" ht="15.75" customHeight="1" x14ac:dyDescent="0.3">
      <c r="A709" s="19"/>
      <c r="B709" s="19"/>
      <c r="C709" s="19"/>
      <c r="D709" s="19"/>
      <c r="E709" s="19"/>
      <c r="F709" s="19"/>
    </row>
    <row r="710" spans="1:6" ht="15.75" customHeight="1" x14ac:dyDescent="0.3">
      <c r="A710" s="19"/>
      <c r="B710" s="19"/>
      <c r="C710" s="19"/>
      <c r="D710" s="19"/>
      <c r="E710" s="19"/>
      <c r="F710" s="19"/>
    </row>
    <row r="711" spans="1:6" ht="15.75" customHeight="1" x14ac:dyDescent="0.3">
      <c r="A711" s="19"/>
      <c r="B711" s="19"/>
      <c r="C711" s="19"/>
      <c r="D711" s="19"/>
      <c r="E711" s="19"/>
      <c r="F711" s="19"/>
    </row>
    <row r="712" spans="1:6" ht="15.75" customHeight="1" x14ac:dyDescent="0.3">
      <c r="A712" s="19"/>
      <c r="B712" s="19"/>
      <c r="C712" s="19"/>
      <c r="D712" s="19"/>
      <c r="E712" s="19"/>
      <c r="F712" s="19"/>
    </row>
    <row r="713" spans="1:6" ht="15.75" customHeight="1" x14ac:dyDescent="0.3">
      <c r="A713" s="19"/>
      <c r="B713" s="19"/>
      <c r="C713" s="19"/>
      <c r="D713" s="19"/>
      <c r="E713" s="19"/>
      <c r="F713" s="19"/>
    </row>
    <row r="714" spans="1:6" ht="15.75" customHeight="1" x14ac:dyDescent="0.3">
      <c r="A714" s="19"/>
      <c r="B714" s="19"/>
      <c r="C714" s="19"/>
      <c r="D714" s="19"/>
      <c r="E714" s="19"/>
      <c r="F714" s="19"/>
    </row>
    <row r="715" spans="1:6" ht="15.75" customHeight="1" x14ac:dyDescent="0.3">
      <c r="A715" s="19"/>
      <c r="B715" s="19"/>
      <c r="C715" s="19"/>
      <c r="D715" s="19"/>
      <c r="E715" s="19"/>
      <c r="F715" s="19"/>
    </row>
    <row r="716" spans="1:6" ht="15.75" customHeight="1" x14ac:dyDescent="0.3">
      <c r="A716" s="19"/>
      <c r="B716" s="19"/>
      <c r="C716" s="19"/>
      <c r="D716" s="19"/>
      <c r="E716" s="19"/>
      <c r="F716" s="19"/>
    </row>
    <row r="717" spans="1:6" ht="15.75" customHeight="1" x14ac:dyDescent="0.3">
      <c r="A717" s="19"/>
      <c r="B717" s="19"/>
      <c r="C717" s="19"/>
      <c r="D717" s="19"/>
      <c r="E717" s="19"/>
      <c r="F717" s="19"/>
    </row>
    <row r="718" spans="1:6" ht="15.75" customHeight="1" x14ac:dyDescent="0.3">
      <c r="A718" s="19"/>
      <c r="B718" s="19"/>
      <c r="C718" s="19"/>
      <c r="D718" s="19"/>
      <c r="E718" s="19"/>
      <c r="F718" s="19"/>
    </row>
    <row r="719" spans="1:6" ht="15.75" customHeight="1" x14ac:dyDescent="0.3">
      <c r="A719" s="19"/>
      <c r="B719" s="19"/>
      <c r="C719" s="19"/>
      <c r="D719" s="19"/>
      <c r="E719" s="19"/>
      <c r="F719" s="19"/>
    </row>
    <row r="720" spans="1:6" ht="15.75" customHeight="1" x14ac:dyDescent="0.3">
      <c r="A720" s="19"/>
      <c r="B720" s="19"/>
      <c r="C720" s="19"/>
      <c r="D720" s="19"/>
      <c r="E720" s="19"/>
      <c r="F720" s="19"/>
    </row>
    <row r="721" spans="1:6" ht="15.75" customHeight="1" x14ac:dyDescent="0.3">
      <c r="A721" s="19"/>
      <c r="B721" s="19"/>
      <c r="C721" s="19"/>
      <c r="D721" s="19"/>
      <c r="E721" s="19"/>
      <c r="F721" s="19"/>
    </row>
    <row r="722" spans="1:6" ht="15.75" customHeight="1" x14ac:dyDescent="0.3">
      <c r="A722" s="19"/>
      <c r="B722" s="19"/>
      <c r="C722" s="19"/>
      <c r="D722" s="19"/>
      <c r="E722" s="19"/>
      <c r="F722" s="19"/>
    </row>
    <row r="723" spans="1:6" ht="15.75" customHeight="1" x14ac:dyDescent="0.3">
      <c r="A723" s="19"/>
      <c r="B723" s="19"/>
      <c r="C723" s="19"/>
      <c r="D723" s="19"/>
      <c r="E723" s="19"/>
      <c r="F723" s="19"/>
    </row>
    <row r="724" spans="1:6" ht="15.75" customHeight="1" x14ac:dyDescent="0.3">
      <c r="A724" s="19"/>
      <c r="B724" s="19"/>
      <c r="C724" s="19"/>
      <c r="D724" s="19"/>
      <c r="E724" s="19"/>
      <c r="F724" s="19"/>
    </row>
    <row r="725" spans="1:6" ht="15.75" customHeight="1" x14ac:dyDescent="0.3">
      <c r="A725" s="19"/>
      <c r="B725" s="19"/>
      <c r="C725" s="19"/>
      <c r="D725" s="19"/>
      <c r="E725" s="19"/>
      <c r="F725" s="19"/>
    </row>
    <row r="726" spans="1:6" ht="15.75" customHeight="1" x14ac:dyDescent="0.3">
      <c r="A726" s="19"/>
      <c r="B726" s="19"/>
      <c r="C726" s="19"/>
      <c r="D726" s="19"/>
      <c r="E726" s="19"/>
      <c r="F726" s="19"/>
    </row>
    <row r="727" spans="1:6" ht="15.75" customHeight="1" x14ac:dyDescent="0.3">
      <c r="A727" s="19"/>
      <c r="B727" s="19"/>
      <c r="C727" s="19"/>
      <c r="D727" s="19"/>
      <c r="E727" s="19"/>
      <c r="F727" s="19"/>
    </row>
    <row r="728" spans="1:6" ht="15.75" customHeight="1" x14ac:dyDescent="0.3">
      <c r="A728" s="19"/>
      <c r="B728" s="19"/>
      <c r="C728" s="19"/>
      <c r="D728" s="19"/>
      <c r="E728" s="19"/>
      <c r="F728" s="19"/>
    </row>
    <row r="729" spans="1:6" ht="15.75" customHeight="1" x14ac:dyDescent="0.3">
      <c r="A729" s="19"/>
      <c r="B729" s="19"/>
      <c r="C729" s="19"/>
      <c r="D729" s="19"/>
      <c r="E729" s="19"/>
      <c r="F729" s="19"/>
    </row>
    <row r="730" spans="1:6" ht="15.75" customHeight="1" x14ac:dyDescent="0.3">
      <c r="A730" s="19"/>
      <c r="B730" s="19"/>
      <c r="C730" s="19"/>
      <c r="D730" s="19"/>
      <c r="E730" s="19"/>
      <c r="F730" s="19"/>
    </row>
    <row r="731" spans="1:6" ht="15.75" customHeight="1" x14ac:dyDescent="0.3">
      <c r="A731" s="19"/>
      <c r="B731" s="19"/>
      <c r="C731" s="19"/>
      <c r="D731" s="19"/>
      <c r="E731" s="19"/>
      <c r="F731" s="19"/>
    </row>
    <row r="732" spans="1:6" ht="15.75" customHeight="1" x14ac:dyDescent="0.3">
      <c r="A732" s="19"/>
      <c r="B732" s="19"/>
      <c r="C732" s="19"/>
      <c r="D732" s="19"/>
      <c r="E732" s="19"/>
      <c r="F732" s="19"/>
    </row>
    <row r="733" spans="1:6" ht="15.75" customHeight="1" x14ac:dyDescent="0.3">
      <c r="A733" s="19"/>
      <c r="B733" s="19"/>
      <c r="C733" s="19"/>
      <c r="D733" s="19"/>
      <c r="E733" s="19"/>
      <c r="F733" s="19"/>
    </row>
    <row r="734" spans="1:6" ht="15.75" customHeight="1" x14ac:dyDescent="0.3">
      <c r="A734" s="19"/>
      <c r="B734" s="19"/>
      <c r="C734" s="19"/>
      <c r="D734" s="19"/>
      <c r="E734" s="19"/>
      <c r="F734" s="19"/>
    </row>
    <row r="735" spans="1:6" ht="15.75" customHeight="1" x14ac:dyDescent="0.3">
      <c r="A735" s="19"/>
      <c r="B735" s="19"/>
      <c r="C735" s="19"/>
      <c r="D735" s="19"/>
      <c r="E735" s="19"/>
      <c r="F735" s="19"/>
    </row>
    <row r="736" spans="1:6" ht="15.75" customHeight="1" x14ac:dyDescent="0.3">
      <c r="A736" s="19"/>
      <c r="B736" s="19"/>
      <c r="C736" s="19"/>
      <c r="D736" s="19"/>
      <c r="E736" s="19"/>
      <c r="F736" s="19"/>
    </row>
    <row r="737" spans="1:6" ht="15.75" customHeight="1" x14ac:dyDescent="0.3">
      <c r="A737" s="19"/>
      <c r="B737" s="19"/>
      <c r="C737" s="19"/>
      <c r="D737" s="19"/>
      <c r="E737" s="19"/>
      <c r="F737" s="19"/>
    </row>
    <row r="738" spans="1:6" ht="15.75" customHeight="1" x14ac:dyDescent="0.3">
      <c r="A738" s="19"/>
      <c r="B738" s="19"/>
      <c r="C738" s="19"/>
      <c r="D738" s="19"/>
      <c r="E738" s="19"/>
      <c r="F738" s="19"/>
    </row>
    <row r="739" spans="1:6" ht="15.75" customHeight="1" x14ac:dyDescent="0.3">
      <c r="A739" s="19"/>
      <c r="B739" s="19"/>
      <c r="C739" s="19"/>
      <c r="D739" s="19"/>
      <c r="E739" s="19"/>
      <c r="F739" s="19"/>
    </row>
    <row r="740" spans="1:6" ht="15.75" customHeight="1" x14ac:dyDescent="0.3">
      <c r="A740" s="19"/>
      <c r="B740" s="19"/>
      <c r="C740" s="19"/>
      <c r="D740" s="19"/>
      <c r="E740" s="19"/>
      <c r="F740" s="19"/>
    </row>
    <row r="741" spans="1:6" ht="15.75" customHeight="1" x14ac:dyDescent="0.3">
      <c r="A741" s="19"/>
      <c r="B741" s="19"/>
      <c r="C741" s="19"/>
      <c r="D741" s="19"/>
      <c r="E741" s="19"/>
      <c r="F741" s="19"/>
    </row>
    <row r="742" spans="1:6" ht="15.75" customHeight="1" x14ac:dyDescent="0.3">
      <c r="A742" s="19"/>
      <c r="B742" s="19"/>
      <c r="C742" s="19"/>
      <c r="D742" s="19"/>
      <c r="E742" s="19"/>
      <c r="F742" s="19"/>
    </row>
    <row r="743" spans="1:6" ht="15.75" customHeight="1" x14ac:dyDescent="0.3">
      <c r="A743" s="19"/>
      <c r="B743" s="19"/>
      <c r="C743" s="19"/>
      <c r="D743" s="19"/>
      <c r="E743" s="19"/>
      <c r="F743" s="19"/>
    </row>
    <row r="744" spans="1:6" ht="15.75" customHeight="1" x14ac:dyDescent="0.3">
      <c r="A744" s="19"/>
      <c r="B744" s="19"/>
      <c r="C744" s="19"/>
      <c r="D744" s="19"/>
      <c r="E744" s="19"/>
      <c r="F744" s="19"/>
    </row>
    <row r="745" spans="1:6" ht="15.75" customHeight="1" x14ac:dyDescent="0.3">
      <c r="A745" s="19"/>
      <c r="B745" s="19"/>
      <c r="C745" s="19"/>
      <c r="D745" s="19"/>
      <c r="E745" s="19"/>
      <c r="F745" s="19"/>
    </row>
    <row r="746" spans="1:6" ht="15.75" customHeight="1" x14ac:dyDescent="0.3">
      <c r="A746" s="19"/>
      <c r="B746" s="19"/>
      <c r="C746" s="19"/>
      <c r="D746" s="19"/>
      <c r="E746" s="19"/>
      <c r="F746" s="19"/>
    </row>
    <row r="747" spans="1:6" ht="15.75" customHeight="1" x14ac:dyDescent="0.3">
      <c r="A747" s="19"/>
      <c r="B747" s="19"/>
      <c r="C747" s="19"/>
      <c r="D747" s="19"/>
      <c r="E747" s="19"/>
      <c r="F747" s="19"/>
    </row>
    <row r="748" spans="1:6" ht="15.75" customHeight="1" x14ac:dyDescent="0.3">
      <c r="A748" s="19"/>
      <c r="B748" s="19"/>
      <c r="C748" s="19"/>
      <c r="D748" s="19"/>
      <c r="E748" s="19"/>
      <c r="F748" s="19"/>
    </row>
    <row r="749" spans="1:6" ht="15.75" customHeight="1" x14ac:dyDescent="0.3">
      <c r="A749" s="19"/>
      <c r="B749" s="19"/>
      <c r="C749" s="19"/>
      <c r="D749" s="19"/>
      <c r="E749" s="19"/>
      <c r="F749" s="19"/>
    </row>
    <row r="750" spans="1:6" ht="15.75" customHeight="1" x14ac:dyDescent="0.3">
      <c r="A750" s="19"/>
      <c r="B750" s="19"/>
      <c r="C750" s="19"/>
      <c r="D750" s="19"/>
      <c r="E750" s="19"/>
      <c r="F750" s="19"/>
    </row>
    <row r="751" spans="1:6" ht="15.75" customHeight="1" x14ac:dyDescent="0.3">
      <c r="A751" s="19"/>
      <c r="B751" s="19"/>
      <c r="C751" s="19"/>
      <c r="D751" s="19"/>
      <c r="E751" s="19"/>
      <c r="F751" s="19"/>
    </row>
    <row r="752" spans="1:6" ht="15.75" customHeight="1" x14ac:dyDescent="0.3">
      <c r="A752" s="19"/>
      <c r="B752" s="19"/>
      <c r="C752" s="19"/>
      <c r="D752" s="19"/>
      <c r="E752" s="19"/>
      <c r="F752" s="19"/>
    </row>
    <row r="753" spans="1:6" ht="15.75" customHeight="1" x14ac:dyDescent="0.3">
      <c r="A753" s="19"/>
      <c r="B753" s="19"/>
      <c r="C753" s="19"/>
      <c r="D753" s="19"/>
      <c r="E753" s="19"/>
      <c r="F753" s="19"/>
    </row>
    <row r="754" spans="1:6" ht="15.75" customHeight="1" x14ac:dyDescent="0.3">
      <c r="A754" s="19"/>
      <c r="B754" s="19"/>
      <c r="C754" s="19"/>
      <c r="D754" s="19"/>
      <c r="E754" s="19"/>
      <c r="F754" s="19"/>
    </row>
    <row r="755" spans="1:6" ht="15.75" customHeight="1" x14ac:dyDescent="0.3">
      <c r="A755" s="19"/>
      <c r="B755" s="19"/>
      <c r="C755" s="19"/>
      <c r="D755" s="19"/>
      <c r="E755" s="19"/>
      <c r="F755" s="19"/>
    </row>
    <row r="756" spans="1:6" ht="15.75" customHeight="1" x14ac:dyDescent="0.3">
      <c r="A756" s="19"/>
      <c r="B756" s="19"/>
      <c r="C756" s="19"/>
      <c r="D756" s="19"/>
      <c r="E756" s="19"/>
      <c r="F756" s="19"/>
    </row>
    <row r="757" spans="1:6" ht="15.75" customHeight="1" x14ac:dyDescent="0.3">
      <c r="A757" s="19"/>
      <c r="B757" s="19"/>
      <c r="C757" s="19"/>
      <c r="D757" s="19"/>
      <c r="E757" s="19"/>
      <c r="F757" s="19"/>
    </row>
    <row r="758" spans="1:6" ht="15.75" customHeight="1" x14ac:dyDescent="0.3">
      <c r="A758" s="19"/>
      <c r="B758" s="19"/>
      <c r="C758" s="19"/>
      <c r="D758" s="19"/>
      <c r="E758" s="19"/>
      <c r="F758" s="19"/>
    </row>
    <row r="759" spans="1:6" ht="15.75" customHeight="1" x14ac:dyDescent="0.3">
      <c r="A759" s="19"/>
      <c r="B759" s="19"/>
      <c r="C759" s="19"/>
      <c r="D759" s="19"/>
      <c r="E759" s="19"/>
      <c r="F759" s="19"/>
    </row>
    <row r="760" spans="1:6" ht="15.75" customHeight="1" x14ac:dyDescent="0.3">
      <c r="A760" s="19"/>
      <c r="B760" s="19"/>
      <c r="C760" s="19"/>
      <c r="D760" s="19"/>
      <c r="E760" s="19"/>
      <c r="F760" s="19"/>
    </row>
    <row r="761" spans="1:6" ht="15.75" customHeight="1" x14ac:dyDescent="0.3">
      <c r="A761" s="19"/>
      <c r="B761" s="19"/>
      <c r="C761" s="19"/>
      <c r="D761" s="19"/>
      <c r="E761" s="19"/>
      <c r="F761" s="19"/>
    </row>
    <row r="762" spans="1:6" ht="15.75" customHeight="1" x14ac:dyDescent="0.3">
      <c r="A762" s="19"/>
      <c r="B762" s="19"/>
      <c r="C762" s="19"/>
      <c r="D762" s="19"/>
      <c r="E762" s="19"/>
      <c r="F762" s="19"/>
    </row>
    <row r="763" spans="1:6" ht="15.75" customHeight="1" x14ac:dyDescent="0.3">
      <c r="A763" s="19"/>
      <c r="B763" s="19"/>
      <c r="C763" s="19"/>
      <c r="D763" s="19"/>
      <c r="E763" s="19"/>
      <c r="F763" s="19"/>
    </row>
    <row r="764" spans="1:6" ht="15.75" customHeight="1" x14ac:dyDescent="0.3">
      <c r="A764" s="19"/>
      <c r="B764" s="19"/>
      <c r="C764" s="19"/>
      <c r="D764" s="19"/>
      <c r="E764" s="19"/>
      <c r="F764" s="19"/>
    </row>
    <row r="765" spans="1:6" ht="15.75" customHeight="1" x14ac:dyDescent="0.3">
      <c r="A765" s="19"/>
      <c r="B765" s="19"/>
      <c r="C765" s="19"/>
      <c r="D765" s="19"/>
      <c r="E765" s="19"/>
      <c r="F765" s="19"/>
    </row>
    <row r="766" spans="1:6" ht="15.75" customHeight="1" x14ac:dyDescent="0.3">
      <c r="A766" s="19"/>
      <c r="B766" s="19"/>
      <c r="C766" s="19"/>
      <c r="D766" s="19"/>
      <c r="E766" s="19"/>
      <c r="F766" s="19"/>
    </row>
    <row r="767" spans="1:6" ht="15.75" customHeight="1" x14ac:dyDescent="0.3">
      <c r="A767" s="19"/>
      <c r="B767" s="19"/>
      <c r="C767" s="19"/>
      <c r="D767" s="19"/>
      <c r="E767" s="19"/>
      <c r="F767" s="19"/>
    </row>
    <row r="768" spans="1:6" ht="15.75" customHeight="1" x14ac:dyDescent="0.3">
      <c r="A768" s="19"/>
      <c r="B768" s="19"/>
      <c r="C768" s="19"/>
      <c r="D768" s="19"/>
      <c r="E768" s="19"/>
      <c r="F768" s="19"/>
    </row>
    <row r="769" spans="1:6" ht="15.75" customHeight="1" x14ac:dyDescent="0.3">
      <c r="A769" s="19"/>
      <c r="B769" s="19"/>
      <c r="C769" s="19"/>
      <c r="D769" s="19"/>
      <c r="E769" s="19"/>
      <c r="F769" s="19"/>
    </row>
    <row r="770" spans="1:6" ht="15.75" customHeight="1" x14ac:dyDescent="0.3">
      <c r="A770" s="19"/>
      <c r="B770" s="19"/>
      <c r="C770" s="19"/>
      <c r="D770" s="19"/>
      <c r="E770" s="19"/>
      <c r="F770" s="19"/>
    </row>
    <row r="771" spans="1:6" ht="15.75" customHeight="1" x14ac:dyDescent="0.3">
      <c r="A771" s="19"/>
      <c r="B771" s="19"/>
      <c r="C771" s="19"/>
      <c r="D771" s="19"/>
      <c r="E771" s="19"/>
      <c r="F771" s="19"/>
    </row>
    <row r="772" spans="1:6" ht="15.75" customHeight="1" x14ac:dyDescent="0.3">
      <c r="A772" s="19"/>
      <c r="B772" s="19"/>
      <c r="C772" s="19"/>
      <c r="D772" s="19"/>
      <c r="E772" s="19"/>
      <c r="F772" s="19"/>
    </row>
    <row r="773" spans="1:6" ht="15.75" customHeight="1" x14ac:dyDescent="0.3">
      <c r="A773" s="19"/>
      <c r="B773" s="19"/>
      <c r="C773" s="19"/>
      <c r="D773" s="19"/>
      <c r="E773" s="19"/>
      <c r="F773" s="19"/>
    </row>
    <row r="774" spans="1:6" ht="15.75" customHeight="1" x14ac:dyDescent="0.3">
      <c r="A774" s="19"/>
      <c r="B774" s="19"/>
      <c r="C774" s="19"/>
      <c r="D774" s="19"/>
      <c r="E774" s="19"/>
      <c r="F774" s="19"/>
    </row>
    <row r="775" spans="1:6" ht="15.75" customHeight="1" x14ac:dyDescent="0.3">
      <c r="A775" s="19"/>
      <c r="B775" s="19"/>
      <c r="C775" s="19"/>
      <c r="D775" s="19"/>
      <c r="E775" s="19"/>
      <c r="F775" s="19"/>
    </row>
    <row r="776" spans="1:6" ht="15.75" customHeight="1" x14ac:dyDescent="0.3">
      <c r="A776" s="19"/>
      <c r="B776" s="19"/>
      <c r="C776" s="19"/>
      <c r="D776" s="19"/>
      <c r="E776" s="19"/>
      <c r="F776" s="19"/>
    </row>
    <row r="777" spans="1:6" ht="15.75" customHeight="1" x14ac:dyDescent="0.3">
      <c r="A777" s="19"/>
      <c r="B777" s="19"/>
      <c r="C777" s="19"/>
      <c r="D777" s="19"/>
      <c r="E777" s="19"/>
      <c r="F777" s="19"/>
    </row>
    <row r="778" spans="1:6" ht="15.75" customHeight="1" x14ac:dyDescent="0.3">
      <c r="A778" s="19"/>
      <c r="B778" s="19"/>
      <c r="C778" s="19"/>
      <c r="D778" s="19"/>
      <c r="E778" s="19"/>
      <c r="F778" s="19"/>
    </row>
    <row r="779" spans="1:6" ht="15.75" customHeight="1" x14ac:dyDescent="0.3">
      <c r="A779" s="19"/>
      <c r="B779" s="19"/>
      <c r="C779" s="19"/>
      <c r="D779" s="19"/>
      <c r="E779" s="19"/>
      <c r="F779" s="19"/>
    </row>
    <row r="780" spans="1:6" ht="15.75" customHeight="1" x14ac:dyDescent="0.3">
      <c r="A780" s="19"/>
      <c r="B780" s="19"/>
      <c r="C780" s="19"/>
      <c r="D780" s="19"/>
      <c r="E780" s="19"/>
      <c r="F780" s="19"/>
    </row>
    <row r="781" spans="1:6" ht="15.75" customHeight="1" x14ac:dyDescent="0.3">
      <c r="A781" s="19"/>
      <c r="B781" s="19"/>
      <c r="C781" s="19"/>
      <c r="D781" s="19"/>
      <c r="E781" s="19"/>
      <c r="F781" s="19"/>
    </row>
    <row r="782" spans="1:6" ht="15.75" customHeight="1" x14ac:dyDescent="0.3">
      <c r="A782" s="19"/>
      <c r="B782" s="19"/>
      <c r="C782" s="19"/>
      <c r="D782" s="19"/>
      <c r="E782" s="19"/>
      <c r="F782" s="19"/>
    </row>
    <row r="783" spans="1:6" ht="15.75" customHeight="1" x14ac:dyDescent="0.3">
      <c r="A783" s="19"/>
      <c r="B783" s="19"/>
      <c r="C783" s="19"/>
      <c r="D783" s="19"/>
      <c r="E783" s="19"/>
      <c r="F783" s="19"/>
    </row>
    <row r="784" spans="1:6" ht="15.75" customHeight="1" x14ac:dyDescent="0.3">
      <c r="A784" s="19"/>
      <c r="B784" s="19"/>
      <c r="C784" s="19"/>
      <c r="D784" s="19"/>
      <c r="E784" s="19"/>
      <c r="F784" s="19"/>
    </row>
    <row r="785" spans="1:6" ht="15.75" customHeight="1" x14ac:dyDescent="0.3">
      <c r="A785" s="19"/>
      <c r="B785" s="19"/>
      <c r="C785" s="19"/>
      <c r="D785" s="19"/>
      <c r="E785" s="19"/>
      <c r="F785" s="19"/>
    </row>
    <row r="786" spans="1:6" ht="15.75" customHeight="1" x14ac:dyDescent="0.3">
      <c r="A786" s="19"/>
      <c r="B786" s="19"/>
      <c r="C786" s="19"/>
      <c r="D786" s="19"/>
      <c r="E786" s="19"/>
      <c r="F786" s="19"/>
    </row>
    <row r="787" spans="1:6" ht="15.75" customHeight="1" x14ac:dyDescent="0.3">
      <c r="A787" s="19"/>
      <c r="B787" s="19"/>
      <c r="C787" s="19"/>
      <c r="D787" s="19"/>
      <c r="E787" s="19"/>
      <c r="F787" s="19"/>
    </row>
    <row r="788" spans="1:6" ht="15.75" customHeight="1" x14ac:dyDescent="0.3">
      <c r="A788" s="19"/>
      <c r="B788" s="19"/>
      <c r="C788" s="19"/>
      <c r="D788" s="19"/>
      <c r="E788" s="19"/>
      <c r="F788" s="19"/>
    </row>
    <row r="789" spans="1:6" ht="15.75" customHeight="1" x14ac:dyDescent="0.3">
      <c r="A789" s="19"/>
      <c r="B789" s="19"/>
      <c r="C789" s="19"/>
      <c r="D789" s="19"/>
      <c r="E789" s="19"/>
      <c r="F789" s="19"/>
    </row>
    <row r="790" spans="1:6" ht="15.75" customHeight="1" x14ac:dyDescent="0.3">
      <c r="A790" s="19"/>
      <c r="B790" s="19"/>
      <c r="C790" s="19"/>
      <c r="D790" s="19"/>
      <c r="E790" s="19"/>
      <c r="F790" s="19"/>
    </row>
    <row r="791" spans="1:6" ht="15.75" customHeight="1" x14ac:dyDescent="0.3">
      <c r="A791" s="19"/>
      <c r="B791" s="19"/>
      <c r="C791" s="19"/>
      <c r="D791" s="19"/>
      <c r="E791" s="19"/>
      <c r="F791" s="19"/>
    </row>
    <row r="792" spans="1:6" ht="15.75" customHeight="1" x14ac:dyDescent="0.3">
      <c r="A792" s="19"/>
      <c r="B792" s="19"/>
      <c r="C792" s="19"/>
      <c r="D792" s="19"/>
      <c r="E792" s="19"/>
      <c r="F792" s="19"/>
    </row>
    <row r="793" spans="1:6" ht="15.75" customHeight="1" x14ac:dyDescent="0.3">
      <c r="A793" s="19"/>
      <c r="B793" s="19"/>
      <c r="C793" s="19"/>
      <c r="D793" s="19"/>
      <c r="E793" s="19"/>
      <c r="F793" s="19"/>
    </row>
    <row r="794" spans="1:6" ht="15.75" customHeight="1" x14ac:dyDescent="0.3">
      <c r="A794" s="19"/>
      <c r="B794" s="19"/>
      <c r="C794" s="19"/>
      <c r="D794" s="19"/>
      <c r="E794" s="19"/>
      <c r="F794" s="19"/>
    </row>
    <row r="795" spans="1:6" ht="15.75" customHeight="1" x14ac:dyDescent="0.3">
      <c r="A795" s="19"/>
      <c r="B795" s="19"/>
      <c r="C795" s="19"/>
      <c r="D795" s="19"/>
      <c r="E795" s="19"/>
      <c r="F795" s="19"/>
    </row>
    <row r="796" spans="1:6" ht="15.75" customHeight="1" x14ac:dyDescent="0.3">
      <c r="A796" s="19"/>
      <c r="B796" s="19"/>
      <c r="C796" s="19"/>
      <c r="D796" s="19"/>
      <c r="E796" s="19"/>
      <c r="F796" s="19"/>
    </row>
    <row r="797" spans="1:6" ht="15.75" customHeight="1" x14ac:dyDescent="0.3">
      <c r="A797" s="19"/>
      <c r="B797" s="19"/>
      <c r="C797" s="19"/>
      <c r="D797" s="19"/>
      <c r="E797" s="19"/>
      <c r="F797" s="19"/>
    </row>
    <row r="798" spans="1:6" ht="15.75" customHeight="1" x14ac:dyDescent="0.3">
      <c r="A798" s="19"/>
      <c r="B798" s="19"/>
      <c r="C798" s="19"/>
      <c r="D798" s="19"/>
      <c r="E798" s="19"/>
      <c r="F798" s="19"/>
    </row>
    <row r="799" spans="1:6" ht="15.75" customHeight="1" x14ac:dyDescent="0.3">
      <c r="A799" s="19"/>
      <c r="B799" s="19"/>
      <c r="C799" s="19"/>
      <c r="D799" s="19"/>
      <c r="E799" s="19"/>
      <c r="F799" s="19"/>
    </row>
    <row r="800" spans="1:6" ht="15.75" customHeight="1" x14ac:dyDescent="0.3">
      <c r="A800" s="19"/>
      <c r="B800" s="19"/>
      <c r="C800" s="19"/>
      <c r="D800" s="19"/>
      <c r="E800" s="19"/>
      <c r="F800" s="19"/>
    </row>
    <row r="801" spans="1:6" ht="15.75" customHeight="1" x14ac:dyDescent="0.3">
      <c r="A801" s="19"/>
      <c r="B801" s="19"/>
      <c r="C801" s="19"/>
      <c r="D801" s="19"/>
      <c r="E801" s="19"/>
      <c r="F801" s="19"/>
    </row>
    <row r="802" spans="1:6" ht="15.75" customHeight="1" x14ac:dyDescent="0.3">
      <c r="A802" s="19"/>
      <c r="B802" s="19"/>
      <c r="C802" s="19"/>
      <c r="D802" s="19"/>
      <c r="E802" s="19"/>
      <c r="F802" s="19"/>
    </row>
    <row r="803" spans="1:6" ht="15.75" customHeight="1" x14ac:dyDescent="0.3">
      <c r="A803" s="19"/>
      <c r="B803" s="19"/>
      <c r="C803" s="19"/>
      <c r="D803" s="19"/>
      <c r="E803" s="19"/>
      <c r="F803" s="19"/>
    </row>
    <row r="804" spans="1:6" ht="15.75" customHeight="1" x14ac:dyDescent="0.3">
      <c r="A804" s="19"/>
      <c r="B804" s="19"/>
      <c r="C804" s="19"/>
      <c r="D804" s="19"/>
      <c r="E804" s="19"/>
      <c r="F804" s="19"/>
    </row>
    <row r="805" spans="1:6" ht="15.75" customHeight="1" x14ac:dyDescent="0.3">
      <c r="A805" s="19"/>
      <c r="B805" s="19"/>
      <c r="C805" s="19"/>
      <c r="D805" s="19"/>
      <c r="E805" s="19"/>
      <c r="F805" s="19"/>
    </row>
    <row r="806" spans="1:6" ht="15.75" customHeight="1" x14ac:dyDescent="0.3">
      <c r="A806" s="19"/>
      <c r="B806" s="19"/>
      <c r="C806" s="19"/>
      <c r="D806" s="19"/>
      <c r="E806" s="19"/>
      <c r="F806" s="19"/>
    </row>
    <row r="807" spans="1:6" ht="15.75" customHeight="1" x14ac:dyDescent="0.3">
      <c r="A807" s="19"/>
      <c r="B807" s="19"/>
      <c r="C807" s="19"/>
      <c r="D807" s="19"/>
      <c r="E807" s="19"/>
      <c r="F807" s="19"/>
    </row>
    <row r="808" spans="1:6" ht="15.75" customHeight="1" x14ac:dyDescent="0.3">
      <c r="A808" s="19"/>
      <c r="B808" s="19"/>
      <c r="C808" s="19"/>
      <c r="D808" s="19"/>
      <c r="E808" s="19"/>
      <c r="F808" s="19"/>
    </row>
    <row r="809" spans="1:6" ht="15.75" customHeight="1" x14ac:dyDescent="0.3">
      <c r="A809" s="19"/>
      <c r="B809" s="19"/>
      <c r="C809" s="19"/>
      <c r="D809" s="19"/>
      <c r="E809" s="19"/>
      <c r="F809" s="19"/>
    </row>
    <row r="810" spans="1:6" ht="15.75" customHeight="1" x14ac:dyDescent="0.3">
      <c r="A810" s="19"/>
      <c r="B810" s="19"/>
      <c r="C810" s="19"/>
      <c r="D810" s="19"/>
      <c r="E810" s="19"/>
      <c r="F810" s="19"/>
    </row>
    <row r="811" spans="1:6" ht="15.75" customHeight="1" x14ac:dyDescent="0.3">
      <c r="A811" s="19"/>
      <c r="B811" s="19"/>
      <c r="C811" s="19"/>
      <c r="D811" s="19"/>
      <c r="E811" s="19"/>
      <c r="F811" s="19"/>
    </row>
    <row r="812" spans="1:6" ht="15.75" customHeight="1" x14ac:dyDescent="0.3">
      <c r="A812" s="19"/>
      <c r="B812" s="19"/>
      <c r="C812" s="19"/>
      <c r="D812" s="19"/>
      <c r="E812" s="19"/>
      <c r="F812" s="19"/>
    </row>
    <row r="813" spans="1:6" ht="15.75" customHeight="1" x14ac:dyDescent="0.3">
      <c r="A813" s="19"/>
      <c r="B813" s="19"/>
      <c r="C813" s="19"/>
      <c r="D813" s="19"/>
      <c r="E813" s="19"/>
      <c r="F813" s="19"/>
    </row>
    <row r="814" spans="1:6" ht="15.75" customHeight="1" x14ac:dyDescent="0.3">
      <c r="A814" s="19"/>
      <c r="B814" s="19"/>
      <c r="C814" s="19"/>
      <c r="D814" s="19"/>
      <c r="E814" s="19"/>
      <c r="F814" s="19"/>
    </row>
    <row r="815" spans="1:6" ht="15.75" customHeight="1" x14ac:dyDescent="0.3">
      <c r="A815" s="19"/>
      <c r="B815" s="19"/>
      <c r="C815" s="19"/>
      <c r="D815" s="19"/>
      <c r="E815" s="19"/>
      <c r="F815" s="19"/>
    </row>
    <row r="816" spans="1:6" ht="15.75" customHeight="1" x14ac:dyDescent="0.3">
      <c r="A816" s="19"/>
      <c r="B816" s="19"/>
      <c r="C816" s="19"/>
      <c r="D816" s="19"/>
      <c r="E816" s="19"/>
      <c r="F816" s="19"/>
    </row>
    <row r="817" spans="1:6" ht="15.75" customHeight="1" x14ac:dyDescent="0.3">
      <c r="A817" s="19"/>
      <c r="B817" s="19"/>
      <c r="C817" s="19"/>
      <c r="D817" s="19"/>
      <c r="E817" s="19"/>
      <c r="F817" s="19"/>
    </row>
    <row r="818" spans="1:6" ht="15.75" customHeight="1" x14ac:dyDescent="0.3">
      <c r="A818" s="19"/>
      <c r="B818" s="19"/>
      <c r="C818" s="19"/>
      <c r="D818" s="19"/>
      <c r="E818" s="19"/>
      <c r="F818" s="19"/>
    </row>
    <row r="819" spans="1:6" ht="15.75" customHeight="1" x14ac:dyDescent="0.3">
      <c r="A819" s="19"/>
      <c r="B819" s="19"/>
      <c r="C819" s="19"/>
      <c r="D819" s="19"/>
      <c r="E819" s="19"/>
      <c r="F819" s="19"/>
    </row>
    <row r="820" spans="1:6" ht="15.75" customHeight="1" x14ac:dyDescent="0.3">
      <c r="A820" s="19"/>
      <c r="B820" s="19"/>
      <c r="C820" s="19"/>
      <c r="D820" s="19"/>
      <c r="E820" s="19"/>
      <c r="F820" s="19"/>
    </row>
    <row r="821" spans="1:6" ht="15.75" customHeight="1" x14ac:dyDescent="0.3">
      <c r="A821" s="19"/>
      <c r="B821" s="19"/>
      <c r="C821" s="19"/>
      <c r="D821" s="19"/>
      <c r="E821" s="19"/>
      <c r="F821" s="19"/>
    </row>
    <row r="822" spans="1:6" ht="15.75" customHeight="1" x14ac:dyDescent="0.3">
      <c r="A822" s="19"/>
      <c r="B822" s="19"/>
      <c r="C822" s="19"/>
      <c r="D822" s="19"/>
      <c r="E822" s="19"/>
      <c r="F822" s="19"/>
    </row>
    <row r="823" spans="1:6" ht="15.75" customHeight="1" x14ac:dyDescent="0.3">
      <c r="A823" s="19"/>
      <c r="B823" s="19"/>
      <c r="C823" s="19"/>
      <c r="D823" s="19"/>
      <c r="E823" s="19"/>
      <c r="F823" s="19"/>
    </row>
    <row r="824" spans="1:6" ht="15.75" customHeight="1" x14ac:dyDescent="0.3">
      <c r="A824" s="19"/>
      <c r="B824" s="19"/>
      <c r="C824" s="19"/>
      <c r="D824" s="19"/>
      <c r="E824" s="19"/>
      <c r="F824" s="19"/>
    </row>
    <row r="825" spans="1:6" ht="15.75" customHeight="1" x14ac:dyDescent="0.3">
      <c r="A825" s="19"/>
      <c r="B825" s="19"/>
      <c r="C825" s="19"/>
      <c r="D825" s="19"/>
      <c r="E825" s="19"/>
      <c r="F825" s="19"/>
    </row>
    <row r="826" spans="1:6" ht="15.75" customHeight="1" x14ac:dyDescent="0.3">
      <c r="A826" s="19"/>
      <c r="B826" s="19"/>
      <c r="C826" s="19"/>
      <c r="D826" s="19"/>
      <c r="E826" s="19"/>
      <c r="F826" s="19"/>
    </row>
    <row r="827" spans="1:6" ht="15.75" customHeight="1" x14ac:dyDescent="0.3">
      <c r="A827" s="19"/>
      <c r="B827" s="19"/>
      <c r="C827" s="19"/>
      <c r="D827" s="19"/>
      <c r="E827" s="19"/>
      <c r="F827" s="19"/>
    </row>
    <row r="828" spans="1:6" ht="15.75" customHeight="1" x14ac:dyDescent="0.3">
      <c r="A828" s="19"/>
      <c r="B828" s="19"/>
      <c r="C828" s="19"/>
      <c r="D828" s="19"/>
      <c r="E828" s="19"/>
      <c r="F828" s="19"/>
    </row>
    <row r="829" spans="1:6" ht="15.75" customHeight="1" x14ac:dyDescent="0.3">
      <c r="A829" s="19"/>
      <c r="B829" s="19"/>
      <c r="C829" s="19"/>
      <c r="D829" s="19"/>
      <c r="E829" s="19"/>
      <c r="F829" s="19"/>
    </row>
    <row r="830" spans="1:6" ht="15.75" customHeight="1" x14ac:dyDescent="0.3">
      <c r="A830" s="19"/>
      <c r="B830" s="19"/>
      <c r="C830" s="19"/>
      <c r="D830" s="19"/>
      <c r="E830" s="19"/>
      <c r="F830" s="19"/>
    </row>
    <row r="831" spans="1:6" ht="15.75" customHeight="1" x14ac:dyDescent="0.3">
      <c r="A831" s="19"/>
      <c r="B831" s="19"/>
      <c r="C831" s="19"/>
      <c r="D831" s="19"/>
      <c r="E831" s="19"/>
      <c r="F831" s="19"/>
    </row>
    <row r="832" spans="1:6" ht="15.75" customHeight="1" x14ac:dyDescent="0.3">
      <c r="A832" s="19"/>
      <c r="B832" s="19"/>
      <c r="C832" s="19"/>
      <c r="D832" s="19"/>
      <c r="E832" s="19"/>
      <c r="F832" s="19"/>
    </row>
    <row r="833" spans="1:6" ht="15.75" customHeight="1" x14ac:dyDescent="0.3">
      <c r="A833" s="19"/>
      <c r="B833" s="19"/>
      <c r="C833" s="19"/>
      <c r="D833" s="19"/>
      <c r="E833" s="19"/>
      <c r="F833" s="19"/>
    </row>
    <row r="834" spans="1:6" ht="15.75" customHeight="1" x14ac:dyDescent="0.3">
      <c r="A834" s="19"/>
      <c r="B834" s="19"/>
      <c r="C834" s="19"/>
      <c r="D834" s="19"/>
      <c r="E834" s="19"/>
      <c r="F834" s="19"/>
    </row>
    <row r="835" spans="1:6" ht="15.75" customHeight="1" x14ac:dyDescent="0.3">
      <c r="A835" s="19"/>
      <c r="B835" s="19"/>
      <c r="C835" s="19"/>
      <c r="D835" s="19"/>
      <c r="E835" s="19"/>
      <c r="F835" s="19"/>
    </row>
    <row r="836" spans="1:6" ht="15.75" customHeight="1" x14ac:dyDescent="0.3">
      <c r="A836" s="19"/>
      <c r="B836" s="19"/>
      <c r="C836" s="19"/>
      <c r="D836" s="19"/>
      <c r="E836" s="19"/>
      <c r="F836" s="19"/>
    </row>
    <row r="837" spans="1:6" ht="15.75" customHeight="1" x14ac:dyDescent="0.3">
      <c r="A837" s="19"/>
      <c r="B837" s="19"/>
      <c r="C837" s="19"/>
      <c r="D837" s="19"/>
      <c r="E837" s="19"/>
      <c r="F837" s="19"/>
    </row>
    <row r="838" spans="1:6" ht="15.75" customHeight="1" x14ac:dyDescent="0.3">
      <c r="A838" s="19"/>
      <c r="B838" s="19"/>
      <c r="C838" s="19"/>
      <c r="D838" s="19"/>
      <c r="E838" s="19"/>
      <c r="F838" s="19"/>
    </row>
    <row r="839" spans="1:6" ht="15.75" customHeight="1" x14ac:dyDescent="0.3">
      <c r="A839" s="19"/>
      <c r="B839" s="19"/>
      <c r="C839" s="19"/>
      <c r="D839" s="19"/>
      <c r="E839" s="19"/>
      <c r="F839" s="19"/>
    </row>
    <row r="840" spans="1:6" ht="15.75" customHeight="1" x14ac:dyDescent="0.3">
      <c r="A840" s="19"/>
      <c r="B840" s="19"/>
      <c r="C840" s="19"/>
      <c r="D840" s="19"/>
      <c r="E840" s="19"/>
      <c r="F840" s="19"/>
    </row>
    <row r="841" spans="1:6" ht="15.75" customHeight="1" x14ac:dyDescent="0.3">
      <c r="A841" s="19"/>
      <c r="B841" s="19"/>
      <c r="C841" s="19"/>
      <c r="D841" s="19"/>
      <c r="E841" s="19"/>
      <c r="F841" s="19"/>
    </row>
    <row r="842" spans="1:6" ht="15.75" customHeight="1" x14ac:dyDescent="0.3">
      <c r="A842" s="19"/>
      <c r="B842" s="19"/>
      <c r="C842" s="19"/>
      <c r="D842" s="19"/>
      <c r="E842" s="19"/>
      <c r="F842" s="19"/>
    </row>
    <row r="843" spans="1:6" ht="15.75" customHeight="1" x14ac:dyDescent="0.3">
      <c r="A843" s="19"/>
      <c r="B843" s="19"/>
      <c r="C843" s="19"/>
      <c r="D843" s="19"/>
      <c r="E843" s="19"/>
      <c r="F843" s="19"/>
    </row>
    <row r="844" spans="1:6" ht="15.75" customHeight="1" x14ac:dyDescent="0.3">
      <c r="A844" s="19"/>
      <c r="B844" s="19"/>
      <c r="C844" s="19"/>
      <c r="D844" s="19"/>
      <c r="E844" s="19"/>
      <c r="F844" s="19"/>
    </row>
    <row r="845" spans="1:6" ht="15.75" customHeight="1" x14ac:dyDescent="0.3">
      <c r="A845" s="19"/>
      <c r="B845" s="19"/>
      <c r="C845" s="19"/>
      <c r="D845" s="19"/>
      <c r="E845" s="19"/>
      <c r="F845" s="19"/>
    </row>
    <row r="846" spans="1:6" ht="15.75" customHeight="1" x14ac:dyDescent="0.3">
      <c r="A846" s="19"/>
      <c r="B846" s="19"/>
      <c r="C846" s="19"/>
      <c r="D846" s="19"/>
      <c r="E846" s="19"/>
      <c r="F846" s="19"/>
    </row>
    <row r="847" spans="1:6" ht="15.75" customHeight="1" x14ac:dyDescent="0.3">
      <c r="A847" s="19"/>
      <c r="B847" s="19"/>
      <c r="C847" s="19"/>
      <c r="D847" s="19"/>
      <c r="E847" s="19"/>
      <c r="F847" s="19"/>
    </row>
    <row r="848" spans="1:6" ht="15.75" customHeight="1" x14ac:dyDescent="0.3">
      <c r="A848" s="19"/>
      <c r="B848" s="19"/>
      <c r="C848" s="19"/>
      <c r="D848" s="19"/>
      <c r="E848" s="19"/>
      <c r="F848" s="19"/>
    </row>
    <row r="849" spans="1:6" ht="15.75" customHeight="1" x14ac:dyDescent="0.3">
      <c r="A849" s="19"/>
      <c r="B849" s="19"/>
      <c r="C849" s="19"/>
      <c r="D849" s="19"/>
      <c r="E849" s="19"/>
      <c r="F849" s="19"/>
    </row>
    <row r="850" spans="1:6" ht="15.75" customHeight="1" x14ac:dyDescent="0.3">
      <c r="A850" s="19"/>
      <c r="B850" s="19"/>
      <c r="C850" s="19"/>
      <c r="D850" s="19"/>
      <c r="E850" s="19"/>
      <c r="F850" s="19"/>
    </row>
    <row r="851" spans="1:6" ht="15.75" customHeight="1" x14ac:dyDescent="0.3">
      <c r="A851" s="19"/>
      <c r="B851" s="19"/>
      <c r="C851" s="19"/>
      <c r="D851" s="19"/>
      <c r="E851" s="19"/>
      <c r="F851" s="19"/>
    </row>
    <row r="852" spans="1:6" ht="15.75" customHeight="1" x14ac:dyDescent="0.3">
      <c r="A852" s="19"/>
      <c r="B852" s="19"/>
      <c r="C852" s="19"/>
      <c r="D852" s="19"/>
      <c r="E852" s="19"/>
      <c r="F852" s="19"/>
    </row>
    <row r="853" spans="1:6" ht="15.75" customHeight="1" x14ac:dyDescent="0.3">
      <c r="A853" s="19"/>
      <c r="B853" s="19"/>
      <c r="C853" s="19"/>
      <c r="D853" s="19"/>
      <c r="E853" s="19"/>
      <c r="F853" s="19"/>
    </row>
    <row r="854" spans="1:6" ht="15.75" customHeight="1" x14ac:dyDescent="0.3">
      <c r="A854" s="19"/>
      <c r="B854" s="19"/>
      <c r="C854" s="19"/>
      <c r="D854" s="19"/>
      <c r="E854" s="19"/>
      <c r="F854" s="19"/>
    </row>
    <row r="855" spans="1:6" ht="15.75" customHeight="1" x14ac:dyDescent="0.3">
      <c r="A855" s="19"/>
      <c r="B855" s="19"/>
      <c r="C855" s="19"/>
      <c r="D855" s="19"/>
      <c r="E855" s="19"/>
      <c r="F855" s="19"/>
    </row>
    <row r="856" spans="1:6" ht="15.75" customHeight="1" x14ac:dyDescent="0.3">
      <c r="A856" s="19"/>
      <c r="B856" s="19"/>
      <c r="C856" s="19"/>
      <c r="D856" s="19"/>
      <c r="E856" s="19"/>
      <c r="F856" s="19"/>
    </row>
    <row r="857" spans="1:6" ht="15.75" customHeight="1" x14ac:dyDescent="0.3">
      <c r="A857" s="19"/>
      <c r="B857" s="19"/>
      <c r="C857" s="19"/>
      <c r="D857" s="19"/>
      <c r="E857" s="19"/>
      <c r="F857" s="19"/>
    </row>
    <row r="858" spans="1:6" ht="15.75" customHeight="1" x14ac:dyDescent="0.3">
      <c r="A858" s="19"/>
      <c r="B858" s="19"/>
      <c r="C858" s="19"/>
      <c r="D858" s="19"/>
      <c r="E858" s="19"/>
      <c r="F858" s="19"/>
    </row>
    <row r="859" spans="1:6" ht="15.75" customHeight="1" x14ac:dyDescent="0.3">
      <c r="A859" s="19"/>
      <c r="B859" s="19"/>
      <c r="C859" s="19"/>
      <c r="D859" s="19"/>
      <c r="E859" s="19"/>
      <c r="F859" s="19"/>
    </row>
    <row r="860" spans="1:6" ht="15.75" customHeight="1" x14ac:dyDescent="0.3">
      <c r="A860" s="19"/>
      <c r="B860" s="19"/>
      <c r="C860" s="19"/>
      <c r="D860" s="19"/>
      <c r="E860" s="19"/>
      <c r="F860" s="19"/>
    </row>
    <row r="861" spans="1:6" ht="15.75" customHeight="1" x14ac:dyDescent="0.3">
      <c r="A861" s="19"/>
      <c r="B861" s="19"/>
      <c r="C861" s="19"/>
      <c r="D861" s="19"/>
      <c r="E861" s="19"/>
      <c r="F861" s="19"/>
    </row>
    <row r="862" spans="1:6" ht="15.75" customHeight="1" x14ac:dyDescent="0.3">
      <c r="A862" s="19"/>
      <c r="B862" s="19"/>
      <c r="C862" s="19"/>
      <c r="D862" s="19"/>
      <c r="E862" s="19"/>
      <c r="F862" s="19"/>
    </row>
    <row r="863" spans="1:6" ht="15.75" customHeight="1" x14ac:dyDescent="0.3">
      <c r="A863" s="19"/>
      <c r="B863" s="19"/>
      <c r="C863" s="19"/>
      <c r="D863" s="19"/>
      <c r="E863" s="19"/>
      <c r="F863" s="19"/>
    </row>
    <row r="864" spans="1:6" ht="15.75" customHeight="1" x14ac:dyDescent="0.3">
      <c r="A864" s="19"/>
      <c r="B864" s="19"/>
      <c r="C864" s="19"/>
      <c r="D864" s="19"/>
      <c r="E864" s="19"/>
      <c r="F864" s="19"/>
    </row>
    <row r="865" spans="1:6" ht="15.75" customHeight="1" x14ac:dyDescent="0.3">
      <c r="A865" s="19"/>
      <c r="B865" s="19"/>
      <c r="C865" s="19"/>
      <c r="D865" s="19"/>
      <c r="E865" s="19"/>
      <c r="F865" s="19"/>
    </row>
    <row r="866" spans="1:6" ht="15.75" customHeight="1" x14ac:dyDescent="0.3">
      <c r="A866" s="19"/>
      <c r="B866" s="19"/>
      <c r="C866" s="19"/>
      <c r="D866" s="19"/>
      <c r="E866" s="19"/>
      <c r="F866" s="19"/>
    </row>
    <row r="867" spans="1:6" ht="15.75" customHeight="1" x14ac:dyDescent="0.3">
      <c r="A867" s="19"/>
      <c r="B867" s="19"/>
      <c r="C867" s="19"/>
      <c r="D867" s="19"/>
      <c r="E867" s="19"/>
      <c r="F867" s="19"/>
    </row>
    <row r="868" spans="1:6" ht="15.75" customHeight="1" x14ac:dyDescent="0.3">
      <c r="A868" s="19"/>
      <c r="B868" s="19"/>
      <c r="C868" s="19"/>
      <c r="D868" s="19"/>
      <c r="E868" s="19"/>
      <c r="F868" s="19"/>
    </row>
    <row r="869" spans="1:6" ht="15.75" customHeight="1" x14ac:dyDescent="0.3">
      <c r="A869" s="19"/>
      <c r="B869" s="19"/>
      <c r="C869" s="19"/>
      <c r="D869" s="19"/>
      <c r="E869" s="19"/>
      <c r="F869" s="19"/>
    </row>
    <row r="870" spans="1:6" ht="15.75" customHeight="1" x14ac:dyDescent="0.3">
      <c r="A870" s="19"/>
      <c r="B870" s="19"/>
      <c r="C870" s="19"/>
      <c r="D870" s="19"/>
      <c r="E870" s="19"/>
      <c r="F870" s="19"/>
    </row>
    <row r="871" spans="1:6" ht="15.75" customHeight="1" x14ac:dyDescent="0.3">
      <c r="A871" s="19"/>
      <c r="B871" s="19"/>
      <c r="C871" s="19"/>
      <c r="D871" s="19"/>
      <c r="E871" s="19"/>
      <c r="F871" s="19"/>
    </row>
    <row r="872" spans="1:6" ht="15.75" customHeight="1" x14ac:dyDescent="0.3">
      <c r="A872" s="19"/>
      <c r="B872" s="19"/>
      <c r="C872" s="19"/>
      <c r="D872" s="19"/>
      <c r="E872" s="19"/>
      <c r="F872" s="19"/>
    </row>
    <row r="873" spans="1:6" ht="15.75" customHeight="1" x14ac:dyDescent="0.3">
      <c r="A873" s="19"/>
      <c r="B873" s="19"/>
      <c r="C873" s="19"/>
      <c r="D873" s="19"/>
      <c r="E873" s="19"/>
      <c r="F873" s="19"/>
    </row>
    <row r="874" spans="1:6" ht="15.75" customHeight="1" x14ac:dyDescent="0.3">
      <c r="A874" s="19"/>
      <c r="B874" s="19"/>
      <c r="C874" s="19"/>
      <c r="D874" s="19"/>
      <c r="E874" s="19"/>
      <c r="F874" s="19"/>
    </row>
    <row r="875" spans="1:6" ht="15.75" customHeight="1" x14ac:dyDescent="0.3">
      <c r="A875" s="19"/>
      <c r="B875" s="19"/>
      <c r="C875" s="19"/>
      <c r="D875" s="19"/>
      <c r="E875" s="19"/>
      <c r="F875" s="19"/>
    </row>
    <row r="876" spans="1:6" ht="15.75" customHeight="1" x14ac:dyDescent="0.3">
      <c r="A876" s="19"/>
      <c r="B876" s="19"/>
      <c r="C876" s="19"/>
      <c r="D876" s="19"/>
      <c r="E876" s="19"/>
      <c r="F876" s="19"/>
    </row>
    <row r="877" spans="1:6" ht="15.75" customHeight="1" x14ac:dyDescent="0.3">
      <c r="A877" s="19"/>
      <c r="B877" s="19"/>
      <c r="C877" s="19"/>
      <c r="D877" s="19"/>
      <c r="E877" s="19"/>
      <c r="F877" s="19"/>
    </row>
    <row r="878" spans="1:6" ht="15.75" customHeight="1" x14ac:dyDescent="0.3">
      <c r="A878" s="19"/>
      <c r="B878" s="19"/>
      <c r="C878" s="19"/>
      <c r="D878" s="19"/>
      <c r="E878" s="19"/>
      <c r="F878" s="19"/>
    </row>
    <row r="879" spans="1:6" ht="15.75" customHeight="1" x14ac:dyDescent="0.3">
      <c r="A879" s="19"/>
      <c r="B879" s="19"/>
      <c r="C879" s="19"/>
      <c r="D879" s="19"/>
      <c r="E879" s="19"/>
      <c r="F879" s="19"/>
    </row>
    <row r="880" spans="1:6" ht="15.75" customHeight="1" x14ac:dyDescent="0.3">
      <c r="A880" s="19"/>
      <c r="B880" s="19"/>
      <c r="C880" s="19"/>
      <c r="D880" s="19"/>
      <c r="E880" s="19"/>
      <c r="F880" s="19"/>
    </row>
    <row r="881" spans="1:6" ht="15.75" customHeight="1" x14ac:dyDescent="0.3">
      <c r="A881" s="19"/>
      <c r="B881" s="19"/>
      <c r="C881" s="19"/>
      <c r="D881" s="19"/>
      <c r="E881" s="19"/>
      <c r="F881" s="19"/>
    </row>
    <row r="882" spans="1:6" ht="15.75" customHeight="1" x14ac:dyDescent="0.3">
      <c r="A882" s="19"/>
      <c r="B882" s="19"/>
      <c r="C882" s="19"/>
      <c r="D882" s="19"/>
      <c r="E882" s="19"/>
      <c r="F882" s="19"/>
    </row>
    <row r="883" spans="1:6" ht="15.75" customHeight="1" x14ac:dyDescent="0.3">
      <c r="A883" s="19"/>
      <c r="B883" s="19"/>
      <c r="C883" s="19"/>
      <c r="D883" s="19"/>
      <c r="E883" s="19"/>
      <c r="F883" s="19"/>
    </row>
    <row r="884" spans="1:6" ht="15.75" customHeight="1" x14ac:dyDescent="0.3">
      <c r="A884" s="19"/>
      <c r="B884" s="19"/>
      <c r="C884" s="19"/>
      <c r="D884" s="19"/>
      <c r="E884" s="19"/>
      <c r="F884" s="19"/>
    </row>
    <row r="885" spans="1:6" ht="15.75" customHeight="1" x14ac:dyDescent="0.3">
      <c r="A885" s="19"/>
      <c r="B885" s="19"/>
      <c r="C885" s="19"/>
      <c r="D885" s="19"/>
      <c r="E885" s="19"/>
      <c r="F885" s="19"/>
    </row>
    <row r="886" spans="1:6" ht="15.75" customHeight="1" x14ac:dyDescent="0.3">
      <c r="A886" s="19"/>
      <c r="B886" s="19"/>
      <c r="C886" s="19"/>
      <c r="D886" s="19"/>
      <c r="E886" s="19"/>
      <c r="F886" s="19"/>
    </row>
    <row r="887" spans="1:6" ht="15.75" customHeight="1" x14ac:dyDescent="0.3">
      <c r="A887" s="19"/>
      <c r="B887" s="19"/>
      <c r="C887" s="19"/>
      <c r="D887" s="19"/>
      <c r="E887" s="19"/>
      <c r="F887" s="19"/>
    </row>
    <row r="888" spans="1:6" ht="15.75" customHeight="1" x14ac:dyDescent="0.3">
      <c r="A888" s="19"/>
      <c r="B888" s="19"/>
      <c r="C888" s="19"/>
      <c r="D888" s="19"/>
      <c r="E888" s="19"/>
      <c r="F888" s="19"/>
    </row>
    <row r="889" spans="1:6" ht="15.75" customHeight="1" x14ac:dyDescent="0.3">
      <c r="A889" s="19"/>
      <c r="B889" s="19"/>
      <c r="C889" s="19"/>
      <c r="D889" s="19"/>
      <c r="E889" s="19"/>
      <c r="F889" s="19"/>
    </row>
    <row r="890" spans="1:6" ht="15.75" customHeight="1" x14ac:dyDescent="0.3">
      <c r="A890" s="19"/>
      <c r="B890" s="19"/>
      <c r="C890" s="19"/>
      <c r="D890" s="19"/>
      <c r="E890" s="19"/>
      <c r="F890" s="19"/>
    </row>
    <row r="891" spans="1:6" ht="15.75" customHeight="1" x14ac:dyDescent="0.3">
      <c r="A891" s="19"/>
      <c r="B891" s="19"/>
      <c r="C891" s="19"/>
      <c r="D891" s="19"/>
      <c r="E891" s="19"/>
      <c r="F891" s="19"/>
    </row>
    <row r="892" spans="1:6" ht="15.75" customHeight="1" x14ac:dyDescent="0.3">
      <c r="A892" s="19"/>
      <c r="B892" s="19"/>
      <c r="C892" s="19"/>
      <c r="D892" s="19"/>
      <c r="E892" s="19"/>
      <c r="F892" s="19"/>
    </row>
    <row r="893" spans="1:6" ht="15.75" customHeight="1" x14ac:dyDescent="0.3">
      <c r="A893" s="19"/>
      <c r="B893" s="19"/>
      <c r="C893" s="19"/>
      <c r="D893" s="19"/>
      <c r="E893" s="19"/>
      <c r="F893" s="19"/>
    </row>
    <row r="894" spans="1:6" ht="15.75" customHeight="1" x14ac:dyDescent="0.3">
      <c r="A894" s="19"/>
      <c r="B894" s="19"/>
      <c r="C894" s="19"/>
      <c r="D894" s="19"/>
      <c r="E894" s="19"/>
      <c r="F894" s="19"/>
    </row>
    <row r="895" spans="1:6" ht="15.75" customHeight="1" x14ac:dyDescent="0.3">
      <c r="A895" s="19"/>
      <c r="B895" s="19"/>
      <c r="C895" s="19"/>
      <c r="D895" s="19"/>
      <c r="E895" s="19"/>
      <c r="F895" s="19"/>
    </row>
    <row r="896" spans="1:6" ht="15.75" customHeight="1" x14ac:dyDescent="0.3">
      <c r="A896" s="19"/>
      <c r="B896" s="19"/>
      <c r="C896" s="19"/>
      <c r="D896" s="19"/>
      <c r="E896" s="19"/>
      <c r="F896" s="19"/>
    </row>
    <row r="897" spans="1:6" ht="15.75" customHeight="1" x14ac:dyDescent="0.3">
      <c r="A897" s="19"/>
      <c r="B897" s="19"/>
      <c r="C897" s="19"/>
      <c r="D897" s="19"/>
      <c r="E897" s="19"/>
      <c r="F897" s="19"/>
    </row>
    <row r="898" spans="1:6" ht="15.75" customHeight="1" x14ac:dyDescent="0.3">
      <c r="A898" s="19"/>
      <c r="B898" s="19"/>
      <c r="C898" s="19"/>
      <c r="D898" s="19"/>
      <c r="E898" s="19"/>
      <c r="F898" s="19"/>
    </row>
    <row r="899" spans="1:6" ht="15.75" customHeight="1" x14ac:dyDescent="0.3">
      <c r="A899" s="19"/>
      <c r="B899" s="19"/>
      <c r="C899" s="19"/>
      <c r="D899" s="19"/>
      <c r="E899" s="19"/>
      <c r="F899" s="19"/>
    </row>
    <row r="900" spans="1:6" ht="15.75" customHeight="1" x14ac:dyDescent="0.3">
      <c r="A900" s="19"/>
      <c r="B900" s="19"/>
      <c r="C900" s="19"/>
      <c r="D900" s="19"/>
      <c r="E900" s="19"/>
      <c r="F900" s="19"/>
    </row>
    <row r="901" spans="1:6" ht="15.75" customHeight="1" x14ac:dyDescent="0.3">
      <c r="A901" s="19"/>
      <c r="B901" s="19"/>
      <c r="C901" s="19"/>
      <c r="D901" s="19"/>
      <c r="E901" s="19"/>
      <c r="F901" s="19"/>
    </row>
    <row r="902" spans="1:6" ht="15.75" customHeight="1" x14ac:dyDescent="0.3">
      <c r="A902" s="19"/>
      <c r="B902" s="19"/>
      <c r="C902" s="19"/>
      <c r="D902" s="19"/>
      <c r="E902" s="19"/>
      <c r="F902" s="19"/>
    </row>
    <row r="903" spans="1:6" ht="15.75" customHeight="1" x14ac:dyDescent="0.3">
      <c r="A903" s="19"/>
      <c r="B903" s="19"/>
      <c r="C903" s="19"/>
      <c r="D903" s="19"/>
      <c r="E903" s="19"/>
      <c r="F903" s="19"/>
    </row>
    <row r="904" spans="1:6" ht="15.75" customHeight="1" x14ac:dyDescent="0.3">
      <c r="A904" s="19"/>
      <c r="B904" s="19"/>
      <c r="C904" s="19"/>
      <c r="D904" s="19"/>
      <c r="E904" s="19"/>
      <c r="F904" s="19"/>
    </row>
    <row r="905" spans="1:6" ht="15.75" customHeight="1" x14ac:dyDescent="0.3">
      <c r="A905" s="19"/>
      <c r="B905" s="19"/>
      <c r="C905" s="19"/>
      <c r="D905" s="19"/>
      <c r="E905" s="19"/>
      <c r="F905" s="19"/>
    </row>
    <row r="906" spans="1:6" ht="15.75" customHeight="1" x14ac:dyDescent="0.3">
      <c r="A906" s="19"/>
      <c r="B906" s="19"/>
      <c r="C906" s="19"/>
      <c r="D906" s="19"/>
      <c r="E906" s="19"/>
      <c r="F906" s="19"/>
    </row>
    <row r="907" spans="1:6" ht="15.75" customHeight="1" x14ac:dyDescent="0.3">
      <c r="A907" s="19"/>
      <c r="B907" s="19"/>
      <c r="C907" s="19"/>
      <c r="D907" s="19"/>
      <c r="E907" s="19"/>
      <c r="F907" s="19"/>
    </row>
    <row r="908" spans="1:6" ht="15.75" customHeight="1" x14ac:dyDescent="0.3">
      <c r="A908" s="19"/>
      <c r="B908" s="19"/>
      <c r="C908" s="19"/>
      <c r="D908" s="19"/>
      <c r="E908" s="19"/>
      <c r="F908" s="19"/>
    </row>
    <row r="909" spans="1:6" ht="15.75" customHeight="1" x14ac:dyDescent="0.3">
      <c r="A909" s="19"/>
      <c r="B909" s="19"/>
      <c r="C909" s="19"/>
      <c r="D909" s="19"/>
      <c r="E909" s="19"/>
      <c r="F909" s="19"/>
    </row>
    <row r="910" spans="1:6" ht="15.75" customHeight="1" x14ac:dyDescent="0.3">
      <c r="A910" s="19"/>
      <c r="B910" s="19"/>
      <c r="C910" s="19"/>
      <c r="D910" s="19"/>
      <c r="E910" s="19"/>
      <c r="F910" s="19"/>
    </row>
    <row r="911" spans="1:6" ht="15.75" customHeight="1" x14ac:dyDescent="0.3">
      <c r="A911" s="19"/>
      <c r="B911" s="19"/>
      <c r="C911" s="19"/>
      <c r="D911" s="19"/>
      <c r="E911" s="19"/>
      <c r="F911" s="19"/>
    </row>
    <row r="912" spans="1:6" ht="15.75" customHeight="1" x14ac:dyDescent="0.3">
      <c r="A912" s="19"/>
      <c r="B912" s="19"/>
      <c r="C912" s="19"/>
      <c r="D912" s="19"/>
      <c r="E912" s="19"/>
      <c r="F912" s="19"/>
    </row>
    <row r="913" spans="1:6" ht="15.75" customHeight="1" x14ac:dyDescent="0.3">
      <c r="A913" s="19"/>
      <c r="B913" s="19"/>
      <c r="C913" s="19"/>
      <c r="D913" s="19"/>
      <c r="E913" s="19"/>
      <c r="F913" s="19"/>
    </row>
    <row r="914" spans="1:6" ht="15.75" customHeight="1" x14ac:dyDescent="0.3">
      <c r="A914" s="19"/>
      <c r="B914" s="19"/>
      <c r="C914" s="19"/>
      <c r="D914" s="19"/>
      <c r="E914" s="19"/>
      <c r="F914" s="19"/>
    </row>
    <row r="915" spans="1:6" ht="15.75" customHeight="1" x14ac:dyDescent="0.3">
      <c r="A915" s="19"/>
      <c r="B915" s="19"/>
      <c r="C915" s="19"/>
      <c r="D915" s="19"/>
      <c r="E915" s="19"/>
      <c r="F915" s="19"/>
    </row>
    <row r="916" spans="1:6" ht="15.75" customHeight="1" x14ac:dyDescent="0.3">
      <c r="A916" s="19"/>
      <c r="B916" s="19"/>
      <c r="C916" s="19"/>
      <c r="D916" s="19"/>
      <c r="E916" s="19"/>
      <c r="F916" s="19"/>
    </row>
    <row r="917" spans="1:6" ht="15.75" customHeight="1" x14ac:dyDescent="0.3">
      <c r="A917" s="19"/>
      <c r="B917" s="19"/>
      <c r="C917" s="19"/>
      <c r="D917" s="19"/>
      <c r="E917" s="19"/>
      <c r="F917" s="19"/>
    </row>
    <row r="918" spans="1:6" ht="15.75" customHeight="1" x14ac:dyDescent="0.3">
      <c r="A918" s="19"/>
      <c r="B918" s="19"/>
      <c r="C918" s="19"/>
      <c r="D918" s="19"/>
      <c r="E918" s="19"/>
      <c r="F918" s="19"/>
    </row>
    <row r="919" spans="1:6" ht="15.75" customHeight="1" x14ac:dyDescent="0.3">
      <c r="A919" s="19"/>
      <c r="B919" s="19"/>
      <c r="C919" s="19"/>
      <c r="D919" s="19"/>
      <c r="E919" s="19"/>
      <c r="F919" s="19"/>
    </row>
    <row r="920" spans="1:6" ht="15.75" customHeight="1" x14ac:dyDescent="0.3">
      <c r="A920" s="19"/>
      <c r="B920" s="19"/>
      <c r="C920" s="19"/>
      <c r="D920" s="19"/>
      <c r="E920" s="19"/>
      <c r="F920" s="19"/>
    </row>
    <row r="921" spans="1:6" ht="15.75" customHeight="1" x14ac:dyDescent="0.3">
      <c r="A921" s="19"/>
      <c r="B921" s="19"/>
      <c r="C921" s="19"/>
      <c r="D921" s="19"/>
      <c r="E921" s="19"/>
      <c r="F921" s="19"/>
    </row>
    <row r="922" spans="1:6" ht="15.75" customHeight="1" x14ac:dyDescent="0.3">
      <c r="A922" s="19"/>
      <c r="B922" s="19"/>
      <c r="C922" s="19"/>
      <c r="D922" s="19"/>
      <c r="E922" s="19"/>
      <c r="F922" s="19"/>
    </row>
    <row r="923" spans="1:6" ht="15.75" customHeight="1" x14ac:dyDescent="0.3">
      <c r="A923" s="19"/>
      <c r="B923" s="19"/>
      <c r="C923" s="19"/>
      <c r="D923" s="19"/>
      <c r="E923" s="19"/>
      <c r="F923" s="19"/>
    </row>
    <row r="924" spans="1:6" ht="15.75" customHeight="1" x14ac:dyDescent="0.3">
      <c r="A924" s="19"/>
      <c r="B924" s="19"/>
      <c r="C924" s="19"/>
      <c r="D924" s="19"/>
      <c r="E924" s="19"/>
      <c r="F924" s="19"/>
    </row>
    <row r="925" spans="1:6" ht="15.75" customHeight="1" x14ac:dyDescent="0.3">
      <c r="A925" s="19"/>
      <c r="B925" s="19"/>
      <c r="C925" s="19"/>
      <c r="D925" s="19"/>
      <c r="E925" s="19"/>
      <c r="F925" s="19"/>
    </row>
    <row r="926" spans="1:6" ht="15.75" customHeight="1" x14ac:dyDescent="0.3">
      <c r="A926" s="19"/>
      <c r="B926" s="19"/>
      <c r="C926" s="19"/>
      <c r="D926" s="19"/>
      <c r="E926" s="19"/>
      <c r="F926" s="19"/>
    </row>
    <row r="927" spans="1:6" ht="15.75" customHeight="1" x14ac:dyDescent="0.3">
      <c r="A927" s="19"/>
      <c r="B927" s="19"/>
      <c r="C927" s="19"/>
      <c r="D927" s="19"/>
      <c r="E927" s="19"/>
      <c r="F927" s="19"/>
    </row>
    <row r="928" spans="1:6" ht="15.75" customHeight="1" x14ac:dyDescent="0.3">
      <c r="A928" s="19"/>
      <c r="B928" s="19"/>
      <c r="C928" s="19"/>
      <c r="D928" s="19"/>
      <c r="E928" s="19"/>
      <c r="F928" s="19"/>
    </row>
    <row r="929" spans="1:6" ht="15.75" customHeight="1" x14ac:dyDescent="0.3">
      <c r="A929" s="19"/>
      <c r="B929" s="19"/>
      <c r="C929" s="19"/>
      <c r="D929" s="19"/>
      <c r="E929" s="19"/>
      <c r="F929" s="19"/>
    </row>
    <row r="930" spans="1:6" ht="15.75" customHeight="1" x14ac:dyDescent="0.3">
      <c r="A930" s="19"/>
      <c r="B930" s="19"/>
      <c r="C930" s="19"/>
      <c r="D930" s="19"/>
      <c r="E930" s="19"/>
      <c r="F930" s="19"/>
    </row>
    <row r="931" spans="1:6" ht="15.75" customHeight="1" x14ac:dyDescent="0.3">
      <c r="A931" s="19"/>
      <c r="B931" s="19"/>
      <c r="C931" s="19"/>
      <c r="D931" s="19"/>
      <c r="E931" s="19"/>
      <c r="F931" s="19"/>
    </row>
    <row r="932" spans="1:6" ht="15.75" customHeight="1" x14ac:dyDescent="0.3">
      <c r="A932" s="19"/>
      <c r="B932" s="19"/>
      <c r="C932" s="19"/>
      <c r="D932" s="19"/>
      <c r="E932" s="19"/>
      <c r="F932" s="19"/>
    </row>
    <row r="933" spans="1:6" ht="15.75" customHeight="1" x14ac:dyDescent="0.3">
      <c r="A933" s="19"/>
      <c r="B933" s="19"/>
      <c r="C933" s="19"/>
      <c r="D933" s="19"/>
      <c r="E933" s="19"/>
      <c r="F933" s="19"/>
    </row>
    <row r="934" spans="1:6" ht="15.75" customHeight="1" x14ac:dyDescent="0.3">
      <c r="A934" s="19"/>
      <c r="B934" s="19"/>
      <c r="C934" s="19"/>
      <c r="D934" s="19"/>
      <c r="E934" s="19"/>
      <c r="F934" s="19"/>
    </row>
    <row r="935" spans="1:6" ht="15.75" customHeight="1" x14ac:dyDescent="0.3">
      <c r="A935" s="19"/>
      <c r="B935" s="19"/>
      <c r="C935" s="19"/>
      <c r="D935" s="19"/>
      <c r="E935" s="19"/>
      <c r="F935" s="19"/>
    </row>
    <row r="936" spans="1:6" ht="15.75" customHeight="1" x14ac:dyDescent="0.3">
      <c r="A936" s="19"/>
      <c r="B936" s="19"/>
      <c r="C936" s="19"/>
      <c r="D936" s="19"/>
      <c r="E936" s="19"/>
      <c r="F936" s="19"/>
    </row>
    <row r="937" spans="1:6" ht="15.75" customHeight="1" x14ac:dyDescent="0.3">
      <c r="A937" s="19"/>
      <c r="B937" s="19"/>
      <c r="C937" s="19"/>
      <c r="D937" s="19"/>
      <c r="E937" s="19"/>
      <c r="F937" s="19"/>
    </row>
    <row r="938" spans="1:6" ht="15.75" customHeight="1" x14ac:dyDescent="0.3">
      <c r="A938" s="19"/>
      <c r="B938" s="19"/>
      <c r="C938" s="19"/>
      <c r="D938" s="19"/>
      <c r="E938" s="19"/>
      <c r="F938" s="19"/>
    </row>
    <row r="939" spans="1:6" ht="15.75" customHeight="1" x14ac:dyDescent="0.3">
      <c r="A939" s="19"/>
      <c r="B939" s="19"/>
      <c r="C939" s="19"/>
      <c r="D939" s="19"/>
      <c r="E939" s="19"/>
      <c r="F939" s="19"/>
    </row>
    <row r="940" spans="1:6" ht="15.75" customHeight="1" x14ac:dyDescent="0.3">
      <c r="A940" s="19"/>
      <c r="B940" s="19"/>
      <c r="C940" s="19"/>
      <c r="D940" s="19"/>
      <c r="E940" s="19"/>
      <c r="F940" s="19"/>
    </row>
    <row r="941" spans="1:6" ht="15.75" customHeight="1" x14ac:dyDescent="0.3">
      <c r="A941" s="19"/>
      <c r="B941" s="19"/>
      <c r="C941" s="19"/>
      <c r="D941" s="19"/>
      <c r="E941" s="19"/>
      <c r="F941" s="19"/>
    </row>
    <row r="942" spans="1:6" ht="15.75" customHeight="1" x14ac:dyDescent="0.3">
      <c r="A942" s="19"/>
      <c r="B942" s="19"/>
      <c r="C942" s="19"/>
      <c r="D942" s="19"/>
      <c r="E942" s="19"/>
      <c r="F942" s="19"/>
    </row>
    <row r="943" spans="1:6" ht="15.75" customHeight="1" x14ac:dyDescent="0.3">
      <c r="A943" s="19"/>
      <c r="B943" s="19"/>
      <c r="C943" s="19"/>
      <c r="D943" s="19"/>
      <c r="E943" s="19"/>
      <c r="F943" s="19"/>
    </row>
    <row r="944" spans="1:6" ht="15.75" customHeight="1" x14ac:dyDescent="0.3">
      <c r="A944" s="19"/>
      <c r="B944" s="19"/>
      <c r="C944" s="19"/>
      <c r="D944" s="19"/>
      <c r="E944" s="19"/>
      <c r="F944" s="19"/>
    </row>
    <row r="945" spans="1:6" ht="15.75" customHeight="1" x14ac:dyDescent="0.3">
      <c r="A945" s="19"/>
      <c r="B945" s="19"/>
      <c r="C945" s="19"/>
      <c r="D945" s="19"/>
      <c r="E945" s="19"/>
      <c r="F945" s="19"/>
    </row>
    <row r="946" spans="1:6" ht="15.75" customHeight="1" x14ac:dyDescent="0.3">
      <c r="A946" s="19"/>
      <c r="B946" s="19"/>
      <c r="C946" s="19"/>
      <c r="D946" s="19"/>
      <c r="E946" s="19"/>
      <c r="F946" s="19"/>
    </row>
    <row r="947" spans="1:6" ht="15.75" customHeight="1" x14ac:dyDescent="0.3">
      <c r="A947" s="19"/>
      <c r="B947" s="19"/>
      <c r="C947" s="19"/>
      <c r="D947" s="19"/>
      <c r="E947" s="19"/>
      <c r="F947" s="19"/>
    </row>
    <row r="948" spans="1:6" ht="15.75" customHeight="1" x14ac:dyDescent="0.3">
      <c r="A948" s="19"/>
      <c r="B948" s="19"/>
      <c r="C948" s="19"/>
      <c r="D948" s="19"/>
      <c r="E948" s="19"/>
      <c r="F948" s="19"/>
    </row>
    <row r="949" spans="1:6" ht="15.75" customHeight="1" x14ac:dyDescent="0.3">
      <c r="A949" s="19"/>
      <c r="B949" s="19"/>
      <c r="C949" s="19"/>
      <c r="D949" s="19"/>
      <c r="E949" s="19"/>
      <c r="F949" s="19"/>
    </row>
    <row r="950" spans="1:6" ht="15.75" customHeight="1" x14ac:dyDescent="0.3">
      <c r="A950" s="19"/>
      <c r="B950" s="19"/>
      <c r="C950" s="19"/>
      <c r="D950" s="19"/>
      <c r="E950" s="19"/>
      <c r="F950" s="19"/>
    </row>
    <row r="951" spans="1:6" ht="15.75" customHeight="1" x14ac:dyDescent="0.3">
      <c r="A951" s="19"/>
      <c r="B951" s="19"/>
      <c r="C951" s="19"/>
      <c r="D951" s="19"/>
      <c r="E951" s="19"/>
      <c r="F951" s="19"/>
    </row>
    <row r="952" spans="1:6" ht="15.75" customHeight="1" x14ac:dyDescent="0.3">
      <c r="A952" s="19"/>
      <c r="B952" s="19"/>
      <c r="C952" s="19"/>
      <c r="D952" s="19"/>
      <c r="E952" s="19"/>
      <c r="F952" s="19"/>
    </row>
    <row r="953" spans="1:6" ht="15.75" customHeight="1" x14ac:dyDescent="0.3">
      <c r="A953" s="19"/>
      <c r="B953" s="19"/>
      <c r="C953" s="19"/>
      <c r="D953" s="19"/>
      <c r="E953" s="19"/>
      <c r="F953" s="19"/>
    </row>
    <row r="954" spans="1:6" ht="15.75" customHeight="1" x14ac:dyDescent="0.3">
      <c r="A954" s="19"/>
      <c r="B954" s="19"/>
      <c r="C954" s="19"/>
      <c r="D954" s="19"/>
      <c r="E954" s="19"/>
      <c r="F954" s="19"/>
    </row>
    <row r="955" spans="1:6" ht="15.75" customHeight="1" x14ac:dyDescent="0.3">
      <c r="A955" s="19"/>
      <c r="B955" s="19"/>
      <c r="C955" s="19"/>
      <c r="D955" s="19"/>
      <c r="E955" s="19"/>
      <c r="F955" s="19"/>
    </row>
    <row r="956" spans="1:6" ht="15.75" customHeight="1" x14ac:dyDescent="0.3">
      <c r="A956" s="19"/>
      <c r="B956" s="19"/>
      <c r="C956" s="19"/>
      <c r="D956" s="19"/>
      <c r="E956" s="19"/>
      <c r="F956" s="19"/>
    </row>
    <row r="957" spans="1:6" ht="15.75" customHeight="1" x14ac:dyDescent="0.3">
      <c r="A957" s="19"/>
      <c r="B957" s="19"/>
      <c r="C957" s="19"/>
      <c r="D957" s="19"/>
      <c r="E957" s="19"/>
      <c r="F957" s="19"/>
    </row>
    <row r="958" spans="1:6" ht="15.75" customHeight="1" x14ac:dyDescent="0.3">
      <c r="A958" s="19"/>
      <c r="B958" s="19"/>
      <c r="C958" s="19"/>
      <c r="D958" s="19"/>
      <c r="E958" s="19"/>
      <c r="F958" s="19"/>
    </row>
    <row r="959" spans="1:6" ht="15.75" customHeight="1" x14ac:dyDescent="0.3">
      <c r="A959" s="19"/>
      <c r="B959" s="19"/>
      <c r="C959" s="19"/>
      <c r="D959" s="19"/>
      <c r="E959" s="19"/>
      <c r="F959" s="19"/>
    </row>
    <row r="960" spans="1:6" ht="15.75" customHeight="1" x14ac:dyDescent="0.3">
      <c r="A960" s="19"/>
      <c r="B960" s="19"/>
      <c r="C960" s="19"/>
      <c r="D960" s="19"/>
      <c r="E960" s="19"/>
      <c r="F960" s="19"/>
    </row>
    <row r="961" spans="1:6" ht="15.75" customHeight="1" x14ac:dyDescent="0.3">
      <c r="A961" s="19"/>
      <c r="B961" s="19"/>
      <c r="C961" s="19"/>
      <c r="D961" s="19"/>
      <c r="E961" s="19"/>
      <c r="F961" s="19"/>
    </row>
    <row r="962" spans="1:6" ht="15.75" customHeight="1" x14ac:dyDescent="0.3">
      <c r="A962" s="19"/>
      <c r="B962" s="19"/>
      <c r="C962" s="19"/>
      <c r="D962" s="19"/>
      <c r="E962" s="19"/>
      <c r="F962" s="19"/>
    </row>
    <row r="963" spans="1:6" ht="15.75" customHeight="1" x14ac:dyDescent="0.3">
      <c r="A963" s="19"/>
      <c r="B963" s="19"/>
      <c r="C963" s="19"/>
      <c r="D963" s="19"/>
      <c r="E963" s="19"/>
      <c r="F963" s="19"/>
    </row>
    <row r="964" spans="1:6" ht="15.75" customHeight="1" x14ac:dyDescent="0.3">
      <c r="A964" s="19"/>
      <c r="B964" s="19"/>
      <c r="C964" s="19"/>
      <c r="D964" s="19"/>
      <c r="E964" s="19"/>
      <c r="F964" s="19"/>
    </row>
    <row r="965" spans="1:6" ht="15.75" customHeight="1" x14ac:dyDescent="0.3">
      <c r="A965" s="19"/>
      <c r="B965" s="19"/>
      <c r="C965" s="19"/>
      <c r="D965" s="19"/>
      <c r="E965" s="19"/>
      <c r="F965" s="19"/>
    </row>
    <row r="966" spans="1:6" ht="15.75" customHeight="1" x14ac:dyDescent="0.3">
      <c r="A966" s="19"/>
      <c r="B966" s="19"/>
      <c r="C966" s="19"/>
      <c r="D966" s="19"/>
      <c r="E966" s="19"/>
      <c r="F966" s="19"/>
    </row>
    <row r="967" spans="1:6" ht="15.75" customHeight="1" x14ac:dyDescent="0.3">
      <c r="A967" s="19"/>
      <c r="B967" s="19"/>
      <c r="C967" s="19"/>
      <c r="D967" s="19"/>
      <c r="E967" s="19"/>
      <c r="F967" s="19"/>
    </row>
    <row r="968" spans="1:6" ht="15.75" customHeight="1" x14ac:dyDescent="0.3">
      <c r="A968" s="19"/>
      <c r="B968" s="19"/>
      <c r="C968" s="19"/>
      <c r="D968" s="19"/>
      <c r="E968" s="19"/>
      <c r="F968" s="19"/>
    </row>
    <row r="969" spans="1:6" ht="15.75" customHeight="1" x14ac:dyDescent="0.3">
      <c r="A969" s="19"/>
      <c r="B969" s="19"/>
      <c r="C969" s="19"/>
      <c r="D969" s="19"/>
      <c r="E969" s="19"/>
      <c r="F969" s="19"/>
    </row>
    <row r="970" spans="1:6" ht="15.75" customHeight="1" x14ac:dyDescent="0.3">
      <c r="A970" s="19"/>
      <c r="B970" s="19"/>
      <c r="C970" s="19"/>
      <c r="D970" s="19"/>
      <c r="E970" s="19"/>
      <c r="F970" s="19"/>
    </row>
    <row r="971" spans="1:6" ht="15.75" customHeight="1" x14ac:dyDescent="0.3">
      <c r="A971" s="19"/>
      <c r="B971" s="19"/>
      <c r="C971" s="19"/>
      <c r="D971" s="19"/>
      <c r="E971" s="19"/>
      <c r="F971" s="19"/>
    </row>
    <row r="972" spans="1:6" ht="15.75" customHeight="1" x14ac:dyDescent="0.3">
      <c r="A972" s="19"/>
      <c r="B972" s="19"/>
      <c r="C972" s="19"/>
      <c r="D972" s="19"/>
      <c r="E972" s="19"/>
      <c r="F972" s="19"/>
    </row>
    <row r="973" spans="1:6" ht="15.75" customHeight="1" x14ac:dyDescent="0.3">
      <c r="A973" s="19"/>
      <c r="B973" s="19"/>
      <c r="C973" s="19"/>
      <c r="D973" s="19"/>
      <c r="E973" s="19"/>
      <c r="F973" s="19"/>
    </row>
    <row r="974" spans="1:6" ht="15.75" customHeight="1" x14ac:dyDescent="0.3">
      <c r="A974" s="19"/>
      <c r="B974" s="19"/>
      <c r="C974" s="19"/>
      <c r="D974" s="19"/>
      <c r="E974" s="19"/>
      <c r="F974" s="19"/>
    </row>
    <row r="975" spans="1:6" ht="15.75" customHeight="1" x14ac:dyDescent="0.3">
      <c r="A975" s="19"/>
      <c r="B975" s="19"/>
      <c r="C975" s="19"/>
      <c r="D975" s="19"/>
      <c r="E975" s="19"/>
      <c r="F975" s="19"/>
    </row>
    <row r="976" spans="1:6" ht="15.75" customHeight="1" x14ac:dyDescent="0.3">
      <c r="A976" s="19"/>
      <c r="B976" s="19"/>
      <c r="C976" s="19"/>
      <c r="D976" s="19"/>
      <c r="E976" s="19"/>
      <c r="F976" s="19"/>
    </row>
    <row r="977" spans="1:6" ht="15.75" customHeight="1" x14ac:dyDescent="0.3">
      <c r="A977" s="19"/>
      <c r="B977" s="19"/>
      <c r="C977" s="19"/>
      <c r="D977" s="19"/>
      <c r="E977" s="19"/>
      <c r="F977" s="19"/>
    </row>
    <row r="978" spans="1:6" ht="15.75" customHeight="1" x14ac:dyDescent="0.3">
      <c r="A978" s="19"/>
      <c r="B978" s="19"/>
      <c r="C978" s="19"/>
      <c r="D978" s="19"/>
      <c r="E978" s="19"/>
      <c r="F978" s="19"/>
    </row>
    <row r="979" spans="1:6" ht="15.75" customHeight="1" x14ac:dyDescent="0.3">
      <c r="A979" s="19"/>
      <c r="B979" s="19"/>
      <c r="C979" s="19"/>
      <c r="D979" s="19"/>
      <c r="E979" s="19"/>
      <c r="F979" s="19"/>
    </row>
    <row r="980" spans="1:6" ht="15.75" customHeight="1" x14ac:dyDescent="0.3">
      <c r="A980" s="19"/>
      <c r="B980" s="19"/>
      <c r="C980" s="19"/>
      <c r="D980" s="19"/>
      <c r="E980" s="19"/>
      <c r="F980" s="19"/>
    </row>
    <row r="981" spans="1:6" ht="15.75" customHeight="1" x14ac:dyDescent="0.3">
      <c r="A981" s="19"/>
      <c r="B981" s="19"/>
      <c r="C981" s="19"/>
      <c r="D981" s="19"/>
      <c r="E981" s="19"/>
      <c r="F981" s="19"/>
    </row>
    <row r="982" spans="1:6" ht="15.75" customHeight="1" x14ac:dyDescent="0.3">
      <c r="A982" s="19"/>
      <c r="B982" s="19"/>
      <c r="C982" s="19"/>
      <c r="D982" s="19"/>
      <c r="E982" s="19"/>
      <c r="F982" s="19"/>
    </row>
    <row r="983" spans="1:6" ht="15.75" customHeight="1" x14ac:dyDescent="0.3">
      <c r="A983" s="19"/>
      <c r="B983" s="19"/>
      <c r="C983" s="19"/>
      <c r="D983" s="19"/>
      <c r="E983" s="19"/>
      <c r="F983" s="19"/>
    </row>
    <row r="984" spans="1:6" ht="15.75" customHeight="1" x14ac:dyDescent="0.3">
      <c r="A984" s="19"/>
      <c r="B984" s="19"/>
      <c r="C984" s="19"/>
      <c r="D984" s="19"/>
      <c r="E984" s="19"/>
      <c r="F984" s="19"/>
    </row>
    <row r="985" spans="1:6" ht="15.75" customHeight="1" x14ac:dyDescent="0.3">
      <c r="A985" s="19"/>
      <c r="B985" s="19"/>
      <c r="C985" s="19"/>
      <c r="D985" s="19"/>
      <c r="E985" s="19"/>
      <c r="F985" s="19"/>
    </row>
    <row r="986" spans="1:6" ht="15.75" customHeight="1" x14ac:dyDescent="0.3">
      <c r="A986" s="19"/>
      <c r="B986" s="19"/>
      <c r="C986" s="19"/>
      <c r="D986" s="19"/>
      <c r="E986" s="19"/>
      <c r="F986" s="19"/>
    </row>
    <row r="987" spans="1:6" ht="15.75" customHeight="1" x14ac:dyDescent="0.3">
      <c r="A987" s="19"/>
      <c r="B987" s="19"/>
      <c r="C987" s="19"/>
      <c r="D987" s="19"/>
      <c r="E987" s="19"/>
      <c r="F987" s="19"/>
    </row>
    <row r="988" spans="1:6" ht="15.75" customHeight="1" x14ac:dyDescent="0.3">
      <c r="A988" s="19"/>
      <c r="B988" s="19"/>
      <c r="C988" s="19"/>
      <c r="D988" s="19"/>
      <c r="E988" s="19"/>
      <c r="F988" s="19"/>
    </row>
    <row r="989" spans="1:6" ht="15.75" customHeight="1" x14ac:dyDescent="0.3">
      <c r="A989" s="19"/>
      <c r="B989" s="19"/>
      <c r="C989" s="19"/>
      <c r="D989" s="19"/>
      <c r="E989" s="19"/>
      <c r="F989" s="19"/>
    </row>
    <row r="990" spans="1:6" ht="15.75" customHeight="1" x14ac:dyDescent="0.3">
      <c r="A990" s="19"/>
      <c r="B990" s="19"/>
      <c r="C990" s="19"/>
      <c r="D990" s="19"/>
      <c r="E990" s="19"/>
      <c r="F990" s="19"/>
    </row>
    <row r="991" spans="1:6" ht="15.75" customHeight="1" x14ac:dyDescent="0.3">
      <c r="A991" s="19"/>
      <c r="B991" s="19"/>
      <c r="C991" s="19"/>
      <c r="D991" s="19"/>
      <c r="E991" s="19"/>
      <c r="F991" s="19"/>
    </row>
    <row r="992" spans="1:6" ht="15.75" customHeight="1" x14ac:dyDescent="0.3">
      <c r="A992" s="19"/>
      <c r="B992" s="19"/>
      <c r="C992" s="19"/>
      <c r="D992" s="19"/>
      <c r="E992" s="19"/>
      <c r="F992" s="19"/>
    </row>
    <row r="993" spans="1:6" ht="15.75" customHeight="1" x14ac:dyDescent="0.3">
      <c r="A993" s="19"/>
      <c r="B993" s="19"/>
      <c r="C993" s="19"/>
      <c r="D993" s="19"/>
      <c r="E993" s="19"/>
      <c r="F993" s="19"/>
    </row>
    <row r="994" spans="1:6" ht="15.75" customHeight="1" x14ac:dyDescent="0.3">
      <c r="A994" s="19"/>
      <c r="B994" s="19"/>
      <c r="C994" s="19"/>
      <c r="D994" s="19"/>
      <c r="E994" s="19"/>
      <c r="F994" s="19"/>
    </row>
    <row r="995" spans="1:6" ht="15.75" customHeight="1" x14ac:dyDescent="0.3">
      <c r="A995" s="19"/>
      <c r="B995" s="19"/>
      <c r="C995" s="19"/>
      <c r="D995" s="19"/>
      <c r="E995" s="19"/>
      <c r="F995" s="19"/>
    </row>
    <row r="996" spans="1:6" ht="15.75" customHeight="1" x14ac:dyDescent="0.3">
      <c r="A996" s="19"/>
      <c r="B996" s="19"/>
      <c r="C996" s="19"/>
      <c r="D996" s="19"/>
      <c r="E996" s="19"/>
      <c r="F996" s="19"/>
    </row>
    <row r="997" spans="1:6" ht="15.75" customHeight="1" x14ac:dyDescent="0.3">
      <c r="A997" s="19"/>
      <c r="B997" s="19"/>
      <c r="C997" s="19"/>
      <c r="D997" s="19"/>
      <c r="E997" s="19"/>
      <c r="F997" s="19"/>
    </row>
    <row r="998" spans="1:6" ht="15.75" customHeight="1" x14ac:dyDescent="0.3">
      <c r="A998" s="19"/>
      <c r="B998" s="19"/>
      <c r="C998" s="19"/>
      <c r="D998" s="19"/>
      <c r="E998" s="19"/>
      <c r="F998" s="19"/>
    </row>
    <row r="999" spans="1:6" ht="15.75" customHeight="1" x14ac:dyDescent="0.3">
      <c r="A999" s="19"/>
      <c r="B999" s="19"/>
      <c r="C999" s="19"/>
      <c r="D999" s="19"/>
      <c r="E999" s="19"/>
      <c r="F999" s="19"/>
    </row>
    <row r="1000" spans="1:6" ht="15.75" customHeight="1" x14ac:dyDescent="0.3">
      <c r="A1000" s="19"/>
      <c r="B1000" s="19"/>
      <c r="C1000" s="19"/>
      <c r="D1000" s="19"/>
      <c r="E1000" s="19"/>
      <c r="F1000" s="19"/>
    </row>
  </sheetData>
  <mergeCells count="13">
    <mergeCell ref="B13:C13"/>
    <mergeCell ref="B14:C14"/>
    <mergeCell ref="B15:C15"/>
    <mergeCell ref="B8:C8"/>
    <mergeCell ref="B9:C9"/>
    <mergeCell ref="B10:C10"/>
    <mergeCell ref="B11:C11"/>
    <mergeCell ref="B12:C12"/>
    <mergeCell ref="A1:F1"/>
    <mergeCell ref="A2:F2"/>
    <mergeCell ref="A3:F3"/>
    <mergeCell ref="B6:C6"/>
    <mergeCell ref="B7:C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zoomScaleNormal="100" workbookViewId="0">
      <pane ySplit="4" topLeftCell="A5" activePane="bottomLeft" state="frozen"/>
      <selection pane="bottomLeft" activeCell="B6" sqref="B6"/>
    </sheetView>
  </sheetViews>
  <sheetFormatPr defaultColWidth="14.44140625" defaultRowHeight="14.4" x14ac:dyDescent="0.3"/>
  <cols>
    <col min="1" max="1" width="11" customWidth="1"/>
    <col min="2" max="2" width="14" customWidth="1"/>
    <col min="3" max="3" width="52" customWidth="1"/>
    <col min="4" max="4" width="26" customWidth="1"/>
    <col min="5" max="5" width="13" customWidth="1"/>
    <col min="6" max="6" width="46" customWidth="1"/>
  </cols>
  <sheetData>
    <row r="1" spans="1:26" ht="17.399999999999999" x14ac:dyDescent="0.3">
      <c r="A1" s="6" t="s">
        <v>468</v>
      </c>
      <c r="B1" s="6"/>
      <c r="C1" s="6"/>
      <c r="D1" s="6"/>
      <c r="E1" s="6"/>
      <c r="F1" s="6"/>
      <c r="G1" s="19"/>
      <c r="H1" s="19"/>
      <c r="I1" s="19"/>
      <c r="J1" s="19"/>
      <c r="K1" s="19"/>
      <c r="L1" s="19"/>
      <c r="M1" s="19"/>
      <c r="N1" s="19"/>
      <c r="O1" s="19"/>
      <c r="P1" s="19"/>
      <c r="Q1" s="19"/>
      <c r="R1" s="19"/>
      <c r="S1" s="19"/>
      <c r="T1" s="19"/>
      <c r="U1" s="19"/>
      <c r="V1" s="19"/>
      <c r="W1" s="19"/>
      <c r="X1" s="19"/>
      <c r="Y1" s="19"/>
      <c r="Z1" s="19"/>
    </row>
    <row r="2" spans="1:26" x14ac:dyDescent="0.3">
      <c r="A2" s="5" t="s">
        <v>469</v>
      </c>
      <c r="B2" s="5"/>
      <c r="C2" s="5"/>
      <c r="D2" s="5"/>
      <c r="E2" s="5"/>
      <c r="F2" s="5"/>
      <c r="G2" s="19"/>
      <c r="H2" s="19"/>
      <c r="I2" s="19"/>
      <c r="J2" s="19"/>
      <c r="K2" s="19"/>
      <c r="L2" s="19"/>
      <c r="M2" s="19"/>
      <c r="N2" s="19"/>
      <c r="O2" s="19"/>
      <c r="P2" s="19"/>
      <c r="Q2" s="19"/>
      <c r="R2" s="19"/>
      <c r="S2" s="19"/>
      <c r="T2" s="19"/>
      <c r="U2" s="19"/>
      <c r="V2" s="19"/>
      <c r="W2" s="19"/>
      <c r="X2" s="19"/>
      <c r="Y2" s="19"/>
      <c r="Z2" s="19"/>
    </row>
    <row r="3" spans="1:26" ht="39.75" customHeight="1" x14ac:dyDescent="0.3">
      <c r="A3" s="9" t="s">
        <v>470</v>
      </c>
      <c r="B3" s="9"/>
      <c r="C3" s="9"/>
      <c r="D3" s="9"/>
      <c r="E3" s="9"/>
      <c r="F3" s="9"/>
      <c r="G3" s="19"/>
      <c r="H3" s="19"/>
      <c r="I3" s="19"/>
      <c r="J3" s="19"/>
      <c r="K3" s="19"/>
      <c r="L3" s="19"/>
      <c r="M3" s="19"/>
      <c r="N3" s="19"/>
      <c r="O3" s="19"/>
      <c r="P3" s="19"/>
      <c r="Q3" s="19"/>
      <c r="R3" s="19"/>
      <c r="S3" s="19"/>
      <c r="T3" s="19"/>
      <c r="U3" s="19"/>
      <c r="V3" s="19"/>
      <c r="W3" s="19"/>
      <c r="X3" s="19"/>
      <c r="Y3" s="19"/>
      <c r="Z3" s="19"/>
    </row>
    <row r="4" spans="1:26" x14ac:dyDescent="0.3">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3">
      <c r="A5" s="42" t="s">
        <v>173</v>
      </c>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x14ac:dyDescent="0.3">
      <c r="A6" s="43" t="s">
        <v>174</v>
      </c>
      <c r="B6" s="4" t="s">
        <v>24</v>
      </c>
      <c r="C6" s="4"/>
      <c r="D6" s="44" t="s">
        <v>29</v>
      </c>
      <c r="E6" s="44" t="s">
        <v>26</v>
      </c>
      <c r="F6" s="44" t="s">
        <v>175</v>
      </c>
      <c r="G6" s="19"/>
      <c r="H6" s="19"/>
      <c r="I6" s="19"/>
      <c r="J6" s="19"/>
      <c r="K6" s="19"/>
      <c r="L6" s="19"/>
      <c r="M6" s="19"/>
      <c r="N6" s="19"/>
      <c r="O6" s="19"/>
      <c r="P6" s="19"/>
      <c r="Q6" s="19"/>
      <c r="R6" s="19"/>
      <c r="S6" s="19"/>
      <c r="T6" s="19"/>
      <c r="U6" s="19"/>
      <c r="V6" s="19"/>
      <c r="W6" s="19"/>
      <c r="X6" s="19"/>
      <c r="Y6" s="19"/>
      <c r="Z6" s="19"/>
    </row>
    <row r="7" spans="1:26" ht="135" customHeight="1" x14ac:dyDescent="0.3">
      <c r="A7" s="45" t="s">
        <v>471</v>
      </c>
      <c r="B7" s="3" t="s">
        <v>472</v>
      </c>
      <c r="C7" s="3"/>
      <c r="D7" s="45" t="s">
        <v>6</v>
      </c>
      <c r="E7" s="45">
        <v>3</v>
      </c>
      <c r="F7" s="45" t="s">
        <v>473</v>
      </c>
      <c r="G7" s="19"/>
      <c r="H7" s="19"/>
      <c r="I7" s="19"/>
      <c r="J7" s="19"/>
      <c r="K7" s="19"/>
      <c r="L7" s="19"/>
      <c r="M7" s="19"/>
      <c r="N7" s="19"/>
      <c r="O7" s="19"/>
      <c r="P7" s="19"/>
      <c r="Q7" s="19"/>
      <c r="R7" s="19"/>
      <c r="S7" s="19"/>
      <c r="T7" s="19"/>
      <c r="U7" s="19"/>
      <c r="V7" s="19"/>
      <c r="W7" s="19"/>
      <c r="X7" s="19"/>
      <c r="Y7" s="19"/>
      <c r="Z7" s="19"/>
    </row>
    <row r="8" spans="1:26" ht="109.5" customHeight="1" x14ac:dyDescent="0.3">
      <c r="A8" s="45" t="s">
        <v>474</v>
      </c>
      <c r="B8" s="3" t="s">
        <v>475</v>
      </c>
      <c r="C8" s="3"/>
      <c r="D8" s="45" t="s">
        <v>6</v>
      </c>
      <c r="E8" s="45">
        <v>3</v>
      </c>
      <c r="F8" s="45" t="s">
        <v>476</v>
      </c>
      <c r="G8" s="19"/>
      <c r="H8" s="19"/>
      <c r="I8" s="19"/>
      <c r="J8" s="19"/>
      <c r="K8" s="19"/>
      <c r="L8" s="19"/>
      <c r="M8" s="19"/>
      <c r="N8" s="19"/>
      <c r="O8" s="19"/>
      <c r="P8" s="19"/>
      <c r="Q8" s="19"/>
      <c r="R8" s="19"/>
      <c r="S8" s="19"/>
      <c r="T8" s="19"/>
      <c r="U8" s="19"/>
      <c r="V8" s="19"/>
      <c r="W8" s="19"/>
      <c r="X8" s="19"/>
      <c r="Y8" s="19"/>
      <c r="Z8" s="19"/>
    </row>
    <row r="9" spans="1:26" ht="122.25" customHeight="1" x14ac:dyDescent="0.3">
      <c r="A9" s="45" t="s">
        <v>477</v>
      </c>
      <c r="B9" s="3" t="s">
        <v>478</v>
      </c>
      <c r="C9" s="3"/>
      <c r="D9" s="45" t="s">
        <v>6</v>
      </c>
      <c r="E9" s="45">
        <v>8</v>
      </c>
      <c r="F9" s="45" t="s">
        <v>479</v>
      </c>
      <c r="G9" s="19"/>
      <c r="H9" s="19"/>
      <c r="I9" s="19"/>
      <c r="J9" s="19"/>
      <c r="K9" s="19"/>
      <c r="L9" s="19"/>
      <c r="M9" s="19"/>
      <c r="N9" s="19"/>
      <c r="O9" s="19"/>
      <c r="P9" s="19"/>
      <c r="Q9" s="19"/>
      <c r="R9" s="19"/>
      <c r="S9" s="19"/>
      <c r="T9" s="19"/>
      <c r="U9" s="19"/>
      <c r="V9" s="19"/>
      <c r="W9" s="19"/>
      <c r="X9" s="19"/>
      <c r="Y9" s="19"/>
      <c r="Z9" s="19"/>
    </row>
    <row r="10" spans="1:26" ht="135" customHeight="1" x14ac:dyDescent="0.3">
      <c r="A10" s="45" t="s">
        <v>480</v>
      </c>
      <c r="B10" s="3" t="s">
        <v>481</v>
      </c>
      <c r="C10" s="3"/>
      <c r="D10" s="45" t="s">
        <v>6</v>
      </c>
      <c r="E10" s="45">
        <v>5</v>
      </c>
      <c r="F10" s="45" t="s">
        <v>482</v>
      </c>
      <c r="G10" s="19"/>
      <c r="H10" s="19"/>
      <c r="I10" s="19"/>
      <c r="J10" s="19"/>
      <c r="K10" s="19"/>
      <c r="L10" s="19"/>
      <c r="M10" s="19"/>
      <c r="N10" s="19"/>
      <c r="O10" s="19"/>
      <c r="P10" s="19"/>
      <c r="Q10" s="19"/>
      <c r="R10" s="19"/>
      <c r="S10" s="19"/>
      <c r="T10" s="19"/>
      <c r="U10" s="19"/>
      <c r="V10" s="19"/>
      <c r="W10" s="19"/>
      <c r="X10" s="19"/>
      <c r="Y10" s="19"/>
      <c r="Z10" s="19"/>
    </row>
    <row r="11" spans="1:26" ht="96.75" customHeight="1" x14ac:dyDescent="0.3">
      <c r="A11" s="45" t="s">
        <v>483</v>
      </c>
      <c r="B11" s="3" t="s">
        <v>484</v>
      </c>
      <c r="C11" s="3"/>
      <c r="D11" s="45" t="s">
        <v>6</v>
      </c>
      <c r="E11" s="45">
        <v>5</v>
      </c>
      <c r="F11" s="45" t="s">
        <v>485</v>
      </c>
      <c r="G11" s="19"/>
      <c r="H11" s="19"/>
      <c r="I11" s="19"/>
      <c r="J11" s="19"/>
      <c r="K11" s="19"/>
      <c r="L11" s="19"/>
      <c r="M11" s="19"/>
      <c r="N11" s="19"/>
      <c r="O11" s="19"/>
      <c r="P11" s="19"/>
      <c r="Q11" s="19"/>
      <c r="R11" s="19"/>
      <c r="S11" s="19"/>
      <c r="T11" s="19"/>
      <c r="U11" s="19"/>
      <c r="V11" s="19"/>
      <c r="W11" s="19"/>
      <c r="X11" s="19"/>
      <c r="Y11" s="19"/>
      <c r="Z11" s="19"/>
    </row>
    <row r="12" spans="1:26" ht="147.75" customHeight="1" x14ac:dyDescent="0.3">
      <c r="A12" s="45" t="s">
        <v>486</v>
      </c>
      <c r="B12" s="3" t="s">
        <v>487</v>
      </c>
      <c r="C12" s="3"/>
      <c r="D12" s="45" t="s">
        <v>12</v>
      </c>
      <c r="E12" s="45">
        <v>8</v>
      </c>
      <c r="F12" s="45" t="s">
        <v>488</v>
      </c>
      <c r="G12" s="19"/>
      <c r="H12" s="19"/>
      <c r="I12" s="19"/>
      <c r="J12" s="19"/>
      <c r="K12" s="19"/>
      <c r="L12" s="19"/>
      <c r="M12" s="19"/>
      <c r="N12" s="19"/>
      <c r="O12" s="19"/>
      <c r="P12" s="19"/>
      <c r="Q12" s="19"/>
      <c r="R12" s="19"/>
      <c r="S12" s="19"/>
      <c r="T12" s="19"/>
      <c r="U12" s="19"/>
      <c r="V12" s="19"/>
      <c r="W12" s="19"/>
      <c r="X12" s="19"/>
      <c r="Y12" s="19"/>
      <c r="Z12" s="19"/>
    </row>
    <row r="13" spans="1:26" ht="109.5" customHeight="1" x14ac:dyDescent="0.3">
      <c r="A13" s="45" t="s">
        <v>489</v>
      </c>
      <c r="B13" s="3" t="s">
        <v>490</v>
      </c>
      <c r="C13" s="3"/>
      <c r="D13" s="45" t="s">
        <v>18</v>
      </c>
      <c r="E13" s="45">
        <v>5</v>
      </c>
      <c r="F13" s="45" t="s">
        <v>491</v>
      </c>
      <c r="G13" s="19"/>
      <c r="H13" s="19"/>
      <c r="I13" s="19"/>
      <c r="J13" s="19"/>
      <c r="K13" s="19"/>
      <c r="L13" s="19"/>
      <c r="M13" s="19"/>
      <c r="N13" s="19"/>
      <c r="O13" s="19"/>
      <c r="P13" s="19"/>
      <c r="Q13" s="19"/>
      <c r="R13" s="19"/>
      <c r="S13" s="19"/>
      <c r="T13" s="19"/>
      <c r="U13" s="19"/>
      <c r="V13" s="19"/>
      <c r="W13" s="19"/>
      <c r="X13" s="19"/>
      <c r="Y13" s="19"/>
      <c r="Z13" s="19"/>
    </row>
    <row r="14" spans="1:26" ht="109.5" customHeight="1" x14ac:dyDescent="0.3">
      <c r="A14" s="45" t="s">
        <v>492</v>
      </c>
      <c r="B14" s="3" t="s">
        <v>493</v>
      </c>
      <c r="C14" s="3"/>
      <c r="D14" s="45" t="s">
        <v>15</v>
      </c>
      <c r="E14" s="45">
        <v>5</v>
      </c>
      <c r="F14" s="45" t="s">
        <v>494</v>
      </c>
      <c r="G14" s="19"/>
      <c r="H14" s="19"/>
      <c r="I14" s="19"/>
      <c r="J14" s="19"/>
      <c r="K14" s="19"/>
      <c r="L14" s="19"/>
      <c r="M14" s="19"/>
      <c r="N14" s="19"/>
      <c r="O14" s="19"/>
      <c r="P14" s="19"/>
      <c r="Q14" s="19"/>
      <c r="R14" s="19"/>
      <c r="S14" s="19"/>
      <c r="T14" s="19"/>
      <c r="U14" s="19"/>
      <c r="V14" s="19"/>
      <c r="W14" s="19"/>
      <c r="X14" s="19"/>
      <c r="Y14" s="19"/>
      <c r="Z14" s="19"/>
    </row>
    <row r="15" spans="1:26" ht="109.5" customHeight="1" x14ac:dyDescent="0.3">
      <c r="A15" s="45" t="s">
        <v>495</v>
      </c>
      <c r="B15" s="3" t="s">
        <v>496</v>
      </c>
      <c r="C15" s="3"/>
      <c r="D15" s="45" t="s">
        <v>9</v>
      </c>
      <c r="E15" s="45">
        <v>5</v>
      </c>
      <c r="F15" s="45" t="s">
        <v>497</v>
      </c>
      <c r="G15" s="19"/>
      <c r="H15" s="19"/>
      <c r="I15" s="19"/>
      <c r="J15" s="19"/>
      <c r="K15" s="19"/>
      <c r="L15" s="19"/>
      <c r="M15" s="19"/>
      <c r="N15" s="19"/>
      <c r="O15" s="19"/>
      <c r="P15" s="19"/>
      <c r="Q15" s="19"/>
      <c r="R15" s="19"/>
      <c r="S15" s="19"/>
      <c r="T15" s="19"/>
      <c r="U15" s="19"/>
      <c r="V15" s="19"/>
      <c r="W15" s="19"/>
      <c r="X15" s="19"/>
      <c r="Y15" s="19"/>
      <c r="Z15" s="19"/>
    </row>
    <row r="16" spans="1:26"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x14ac:dyDescent="0.3">
      <c r="A17" s="42" t="s">
        <v>498</v>
      </c>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26.4" x14ac:dyDescent="0.3">
      <c r="A18" s="43" t="s">
        <v>174</v>
      </c>
      <c r="B18" s="44" t="s">
        <v>189</v>
      </c>
      <c r="C18" s="44" t="s">
        <v>190</v>
      </c>
      <c r="D18" s="44" t="s">
        <v>29</v>
      </c>
      <c r="E18" s="44" t="s">
        <v>191</v>
      </c>
      <c r="F18" s="44" t="s">
        <v>27</v>
      </c>
      <c r="G18" s="19"/>
      <c r="H18" s="19"/>
      <c r="I18" s="19"/>
      <c r="J18" s="19"/>
      <c r="K18" s="19"/>
      <c r="L18" s="19"/>
      <c r="M18" s="19"/>
      <c r="N18" s="19"/>
      <c r="O18" s="19"/>
      <c r="P18" s="19"/>
      <c r="Q18" s="19"/>
      <c r="R18" s="19"/>
      <c r="S18" s="19"/>
      <c r="T18" s="19"/>
      <c r="U18" s="19"/>
      <c r="V18" s="19"/>
      <c r="W18" s="19"/>
      <c r="X18" s="19"/>
      <c r="Y18" s="19"/>
      <c r="Z18" s="19"/>
    </row>
    <row r="19" spans="1:26" ht="30" customHeight="1" x14ac:dyDescent="0.3">
      <c r="A19" s="45" t="s">
        <v>329</v>
      </c>
      <c r="B19" s="46" t="s">
        <v>194</v>
      </c>
      <c r="C19" s="45" t="s">
        <v>377</v>
      </c>
      <c r="D19" s="45" t="s">
        <v>9</v>
      </c>
      <c r="E19" s="45">
        <v>1</v>
      </c>
      <c r="F19" s="47" t="s">
        <v>499</v>
      </c>
      <c r="G19" s="19"/>
      <c r="H19" s="19"/>
      <c r="I19" s="19"/>
      <c r="J19" s="19"/>
      <c r="K19" s="19"/>
      <c r="L19" s="19"/>
      <c r="M19" s="19"/>
      <c r="N19" s="19"/>
      <c r="O19" s="19"/>
      <c r="P19" s="19"/>
      <c r="Q19" s="19"/>
      <c r="R19" s="19"/>
      <c r="S19" s="19"/>
      <c r="T19" s="19"/>
      <c r="U19" s="19"/>
      <c r="V19" s="19"/>
      <c r="W19" s="19"/>
      <c r="X19" s="19"/>
      <c r="Y19" s="19"/>
      <c r="Z19" s="19"/>
    </row>
    <row r="20" spans="1:26" ht="30" customHeight="1" x14ac:dyDescent="0.3">
      <c r="A20" s="45" t="s">
        <v>329</v>
      </c>
      <c r="B20" s="48" t="s">
        <v>196</v>
      </c>
      <c r="C20" s="45" t="s">
        <v>500</v>
      </c>
      <c r="D20" s="45" t="s">
        <v>9</v>
      </c>
      <c r="E20" s="45">
        <v>2</v>
      </c>
      <c r="F20" s="47" t="s">
        <v>499</v>
      </c>
      <c r="G20" s="19"/>
      <c r="H20" s="19"/>
      <c r="I20" s="19"/>
      <c r="J20" s="19"/>
      <c r="K20" s="19"/>
      <c r="L20" s="19"/>
      <c r="M20" s="19"/>
      <c r="N20" s="19"/>
      <c r="O20" s="19"/>
      <c r="P20" s="19"/>
      <c r="Q20" s="19"/>
      <c r="R20" s="19"/>
      <c r="S20" s="19"/>
      <c r="T20" s="19"/>
      <c r="U20" s="19"/>
      <c r="V20" s="19"/>
      <c r="W20" s="19"/>
      <c r="X20" s="19"/>
      <c r="Y20" s="19"/>
      <c r="Z20" s="19"/>
    </row>
    <row r="21" spans="1:26" ht="30" customHeight="1" x14ac:dyDescent="0.3">
      <c r="A21" s="45" t="s">
        <v>329</v>
      </c>
      <c r="B21" s="49" t="s">
        <v>200</v>
      </c>
      <c r="C21" s="45" t="s">
        <v>380</v>
      </c>
      <c r="D21" s="45" t="s">
        <v>9</v>
      </c>
      <c r="E21" s="45">
        <v>1</v>
      </c>
      <c r="F21" s="47" t="s">
        <v>499</v>
      </c>
      <c r="G21" s="19"/>
      <c r="H21" s="19"/>
      <c r="I21" s="19"/>
      <c r="J21" s="19"/>
      <c r="K21" s="19"/>
      <c r="L21" s="19"/>
      <c r="M21" s="19"/>
      <c r="N21" s="19"/>
      <c r="O21" s="19"/>
      <c r="P21" s="19"/>
      <c r="Q21" s="19"/>
      <c r="R21" s="19"/>
      <c r="S21" s="19"/>
      <c r="T21" s="19"/>
      <c r="U21" s="19"/>
      <c r="V21" s="19"/>
      <c r="W21" s="19"/>
      <c r="X21" s="19"/>
      <c r="Y21" s="19"/>
      <c r="Z21" s="19"/>
    </row>
    <row r="22" spans="1:26" ht="30" customHeight="1" x14ac:dyDescent="0.3">
      <c r="A22" s="45" t="s">
        <v>329</v>
      </c>
      <c r="B22" s="50" t="s">
        <v>501</v>
      </c>
      <c r="C22" s="45" t="s">
        <v>502</v>
      </c>
      <c r="D22" s="45" t="s">
        <v>18</v>
      </c>
      <c r="E22" s="45">
        <v>1.5</v>
      </c>
      <c r="F22" s="47" t="s">
        <v>499</v>
      </c>
      <c r="G22" s="19"/>
      <c r="H22" s="19"/>
      <c r="I22" s="19"/>
      <c r="J22" s="19"/>
      <c r="K22" s="19"/>
      <c r="L22" s="19"/>
      <c r="M22" s="19"/>
      <c r="N22" s="19"/>
      <c r="O22" s="19"/>
      <c r="P22" s="19"/>
      <c r="Q22" s="19"/>
      <c r="R22" s="19"/>
      <c r="S22" s="19"/>
      <c r="T22" s="19"/>
      <c r="U22" s="19"/>
      <c r="V22" s="19"/>
      <c r="W22" s="19"/>
      <c r="X22" s="19"/>
      <c r="Y22" s="19"/>
      <c r="Z22" s="19"/>
    </row>
    <row r="23" spans="1:26" ht="15.7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x14ac:dyDescent="0.3">
      <c r="A24" s="42" t="s">
        <v>188</v>
      </c>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43" t="s">
        <v>174</v>
      </c>
      <c r="B25" s="44" t="s">
        <v>189</v>
      </c>
      <c r="C25" s="44" t="s">
        <v>190</v>
      </c>
      <c r="D25" s="44" t="s">
        <v>29</v>
      </c>
      <c r="E25" s="44" t="s">
        <v>191</v>
      </c>
      <c r="F25" s="44" t="s">
        <v>27</v>
      </c>
      <c r="G25" s="19"/>
      <c r="H25" s="19"/>
      <c r="I25" s="19"/>
      <c r="J25" s="19"/>
      <c r="K25" s="19"/>
      <c r="L25" s="19"/>
      <c r="M25" s="19"/>
      <c r="N25" s="19"/>
      <c r="O25" s="19"/>
      <c r="P25" s="19"/>
      <c r="Q25" s="19"/>
      <c r="R25" s="19"/>
      <c r="S25" s="19"/>
      <c r="T25" s="19"/>
      <c r="U25" s="19"/>
      <c r="V25" s="19"/>
      <c r="W25" s="19"/>
      <c r="X25" s="19"/>
      <c r="Y25" s="19"/>
      <c r="Z25" s="19"/>
    </row>
    <row r="26" spans="1:26" ht="28.5" customHeight="1" x14ac:dyDescent="0.3">
      <c r="A26" s="45" t="s">
        <v>471</v>
      </c>
      <c r="B26" s="46" t="s">
        <v>194</v>
      </c>
      <c r="C26" s="45" t="s">
        <v>377</v>
      </c>
      <c r="D26" s="45" t="s">
        <v>6</v>
      </c>
      <c r="E26" s="45">
        <v>1</v>
      </c>
      <c r="F26" s="47" t="s">
        <v>34</v>
      </c>
      <c r="G26" s="19"/>
      <c r="H26" s="19"/>
      <c r="I26" s="19"/>
      <c r="J26" s="19"/>
      <c r="K26" s="19"/>
      <c r="L26" s="19"/>
      <c r="M26" s="19"/>
      <c r="N26" s="19"/>
      <c r="O26" s="19"/>
      <c r="P26" s="19"/>
      <c r="Q26" s="19"/>
      <c r="R26" s="19"/>
      <c r="S26" s="19"/>
      <c r="T26" s="19"/>
      <c r="U26" s="19"/>
      <c r="V26" s="19"/>
      <c r="W26" s="19"/>
      <c r="X26" s="19"/>
      <c r="Y26" s="19"/>
      <c r="Z26" s="19"/>
    </row>
    <row r="27" spans="1:26" ht="42" customHeight="1" x14ac:dyDescent="0.3">
      <c r="A27" s="45" t="s">
        <v>471</v>
      </c>
      <c r="B27" s="48" t="s">
        <v>196</v>
      </c>
      <c r="C27" s="45" t="s">
        <v>503</v>
      </c>
      <c r="D27" s="45" t="s">
        <v>6</v>
      </c>
      <c r="E27" s="45">
        <v>2</v>
      </c>
      <c r="F27" s="47" t="s">
        <v>34</v>
      </c>
      <c r="G27" s="19"/>
      <c r="H27" s="19"/>
      <c r="I27" s="19"/>
      <c r="J27" s="19"/>
      <c r="K27" s="19"/>
      <c r="L27" s="19"/>
      <c r="M27" s="19"/>
      <c r="N27" s="19"/>
      <c r="O27" s="19"/>
      <c r="P27" s="19"/>
      <c r="Q27" s="19"/>
      <c r="R27" s="19"/>
      <c r="S27" s="19"/>
      <c r="T27" s="19"/>
      <c r="U27" s="19"/>
      <c r="V27" s="19"/>
      <c r="W27" s="19"/>
      <c r="X27" s="19"/>
      <c r="Y27" s="19"/>
      <c r="Z27" s="19"/>
    </row>
    <row r="28" spans="1:26" ht="42" customHeight="1" x14ac:dyDescent="0.3">
      <c r="A28" s="45" t="s">
        <v>471</v>
      </c>
      <c r="B28" s="51" t="s">
        <v>198</v>
      </c>
      <c r="C28" s="45" t="s">
        <v>504</v>
      </c>
      <c r="D28" s="45" t="s">
        <v>6</v>
      </c>
      <c r="E28" s="45">
        <v>2</v>
      </c>
      <c r="F28" s="47" t="s">
        <v>34</v>
      </c>
      <c r="G28" s="19"/>
      <c r="H28" s="19"/>
      <c r="I28" s="19"/>
      <c r="J28" s="19"/>
      <c r="K28" s="19"/>
      <c r="L28" s="19"/>
      <c r="M28" s="19"/>
      <c r="N28" s="19"/>
      <c r="O28" s="19"/>
      <c r="P28" s="19"/>
      <c r="Q28" s="19"/>
      <c r="R28" s="19"/>
      <c r="S28" s="19"/>
      <c r="T28" s="19"/>
      <c r="U28" s="19"/>
      <c r="V28" s="19"/>
      <c r="W28" s="19"/>
      <c r="X28" s="19"/>
      <c r="Y28" s="19"/>
      <c r="Z28" s="19"/>
    </row>
    <row r="29" spans="1:26" ht="42" customHeight="1" x14ac:dyDescent="0.3">
      <c r="A29" s="45" t="s">
        <v>471</v>
      </c>
      <c r="B29" s="49" t="s">
        <v>200</v>
      </c>
      <c r="C29" s="45" t="s">
        <v>505</v>
      </c>
      <c r="D29" s="45" t="s">
        <v>6</v>
      </c>
      <c r="E29" s="45">
        <v>1</v>
      </c>
      <c r="F29" s="47" t="s">
        <v>34</v>
      </c>
      <c r="G29" s="19"/>
      <c r="H29" s="19"/>
      <c r="I29" s="19"/>
      <c r="J29" s="19"/>
      <c r="K29" s="19"/>
      <c r="L29" s="19"/>
      <c r="M29" s="19"/>
      <c r="N29" s="19"/>
      <c r="O29" s="19"/>
      <c r="P29" s="19"/>
      <c r="Q29" s="19"/>
      <c r="R29" s="19"/>
      <c r="S29" s="19"/>
      <c r="T29" s="19"/>
      <c r="U29" s="19"/>
      <c r="V29" s="19"/>
      <c r="W29" s="19"/>
      <c r="X29" s="19"/>
      <c r="Y29" s="19"/>
      <c r="Z29" s="19"/>
    </row>
    <row r="30" spans="1:26" ht="28.5" customHeight="1" x14ac:dyDescent="0.3">
      <c r="A30" s="45" t="s">
        <v>474</v>
      </c>
      <c r="B30" s="52" t="s">
        <v>192</v>
      </c>
      <c r="C30" s="45" t="s">
        <v>506</v>
      </c>
      <c r="D30" s="45" t="s">
        <v>6</v>
      </c>
      <c r="E30" s="45">
        <v>1</v>
      </c>
      <c r="F30" s="47" t="s">
        <v>34</v>
      </c>
      <c r="G30" s="19"/>
      <c r="H30" s="19"/>
      <c r="I30" s="19"/>
      <c r="J30" s="19"/>
      <c r="K30" s="19"/>
      <c r="L30" s="19"/>
      <c r="M30" s="19"/>
      <c r="N30" s="19"/>
      <c r="O30" s="19"/>
      <c r="P30" s="19"/>
      <c r="Q30" s="19"/>
      <c r="R30" s="19"/>
      <c r="S30" s="19"/>
      <c r="T30" s="19"/>
      <c r="U30" s="19"/>
      <c r="V30" s="19"/>
      <c r="W30" s="19"/>
      <c r="X30" s="19"/>
      <c r="Y30" s="19"/>
      <c r="Z30" s="19"/>
    </row>
    <row r="31" spans="1:26" ht="28.5" customHeight="1" x14ac:dyDescent="0.3">
      <c r="A31" s="45" t="s">
        <v>474</v>
      </c>
      <c r="B31" s="48" t="s">
        <v>196</v>
      </c>
      <c r="C31" s="45" t="s">
        <v>507</v>
      </c>
      <c r="D31" s="45" t="s">
        <v>6</v>
      </c>
      <c r="E31" s="45">
        <v>2</v>
      </c>
      <c r="F31" s="47" t="s">
        <v>34</v>
      </c>
      <c r="G31" s="19"/>
      <c r="H31" s="19"/>
      <c r="I31" s="19"/>
      <c r="J31" s="19"/>
      <c r="K31" s="19"/>
      <c r="L31" s="19"/>
      <c r="M31" s="19"/>
      <c r="N31" s="19"/>
      <c r="O31" s="19"/>
      <c r="P31" s="19"/>
      <c r="Q31" s="19"/>
      <c r="R31" s="19"/>
      <c r="S31" s="19"/>
      <c r="T31" s="19"/>
      <c r="U31" s="19"/>
      <c r="V31" s="19"/>
      <c r="W31" s="19"/>
      <c r="X31" s="19"/>
      <c r="Y31" s="19"/>
      <c r="Z31" s="19"/>
    </row>
    <row r="32" spans="1:26" ht="28.5" customHeight="1" x14ac:dyDescent="0.3">
      <c r="A32" s="45" t="s">
        <v>474</v>
      </c>
      <c r="B32" s="48" t="s">
        <v>196</v>
      </c>
      <c r="C32" s="45" t="s">
        <v>508</v>
      </c>
      <c r="D32" s="45" t="s">
        <v>6</v>
      </c>
      <c r="E32" s="45">
        <v>2</v>
      </c>
      <c r="F32" s="47" t="s">
        <v>34</v>
      </c>
      <c r="G32" s="19"/>
      <c r="H32" s="19"/>
      <c r="I32" s="19"/>
      <c r="J32" s="19"/>
      <c r="K32" s="19"/>
      <c r="L32" s="19"/>
      <c r="M32" s="19"/>
      <c r="N32" s="19"/>
      <c r="O32" s="19"/>
      <c r="P32" s="19"/>
      <c r="Q32" s="19"/>
      <c r="R32" s="19"/>
      <c r="S32" s="19"/>
      <c r="T32" s="19"/>
      <c r="U32" s="19"/>
      <c r="V32" s="19"/>
      <c r="W32" s="19"/>
      <c r="X32" s="19"/>
      <c r="Y32" s="19"/>
      <c r="Z32" s="19"/>
    </row>
    <row r="33" spans="1:26" ht="28.5" customHeight="1" x14ac:dyDescent="0.3">
      <c r="A33" s="45" t="s">
        <v>474</v>
      </c>
      <c r="B33" s="51" t="s">
        <v>198</v>
      </c>
      <c r="C33" s="45" t="s">
        <v>509</v>
      </c>
      <c r="D33" s="45" t="s">
        <v>6</v>
      </c>
      <c r="E33" s="45">
        <v>3</v>
      </c>
      <c r="F33" s="47" t="s">
        <v>34</v>
      </c>
      <c r="G33" s="19"/>
      <c r="H33" s="19"/>
      <c r="I33" s="19"/>
      <c r="J33" s="19"/>
      <c r="K33" s="19"/>
      <c r="L33" s="19"/>
      <c r="M33" s="19"/>
      <c r="N33" s="19"/>
      <c r="O33" s="19"/>
      <c r="P33" s="19"/>
      <c r="Q33" s="19"/>
      <c r="R33" s="19"/>
      <c r="S33" s="19"/>
      <c r="T33" s="19"/>
      <c r="U33" s="19"/>
      <c r="V33" s="19"/>
      <c r="W33" s="19"/>
      <c r="X33" s="19"/>
      <c r="Y33" s="19"/>
      <c r="Z33" s="19"/>
    </row>
    <row r="34" spans="1:26" ht="28.5" customHeight="1" x14ac:dyDescent="0.3">
      <c r="A34" s="45" t="s">
        <v>474</v>
      </c>
      <c r="B34" s="49" t="s">
        <v>200</v>
      </c>
      <c r="C34" s="45" t="s">
        <v>510</v>
      </c>
      <c r="D34" s="45" t="s">
        <v>6</v>
      </c>
      <c r="E34" s="45">
        <v>1</v>
      </c>
      <c r="F34" s="47" t="s">
        <v>34</v>
      </c>
      <c r="G34" s="19"/>
      <c r="H34" s="19"/>
      <c r="I34" s="19"/>
      <c r="J34" s="19"/>
      <c r="K34" s="19"/>
      <c r="L34" s="19"/>
      <c r="M34" s="19"/>
      <c r="N34" s="19"/>
      <c r="O34" s="19"/>
      <c r="P34" s="19"/>
      <c r="Q34" s="19"/>
      <c r="R34" s="19"/>
      <c r="S34" s="19"/>
      <c r="T34" s="19"/>
      <c r="U34" s="19"/>
      <c r="V34" s="19"/>
      <c r="W34" s="19"/>
      <c r="X34" s="19"/>
      <c r="Y34" s="19"/>
      <c r="Z34" s="19"/>
    </row>
    <row r="35" spans="1:26" ht="28.5" customHeight="1" x14ac:dyDescent="0.3">
      <c r="A35" s="45" t="s">
        <v>477</v>
      </c>
      <c r="B35" s="52" t="s">
        <v>192</v>
      </c>
      <c r="C35" s="45" t="s">
        <v>511</v>
      </c>
      <c r="D35" s="45" t="s">
        <v>6</v>
      </c>
      <c r="E35" s="45">
        <v>2</v>
      </c>
      <c r="F35" s="47" t="s">
        <v>34</v>
      </c>
      <c r="G35" s="19"/>
      <c r="H35" s="19"/>
      <c r="I35" s="19"/>
      <c r="J35" s="19"/>
      <c r="K35" s="19"/>
      <c r="L35" s="19"/>
      <c r="M35" s="19"/>
      <c r="N35" s="19"/>
      <c r="O35" s="19"/>
      <c r="P35" s="19"/>
      <c r="Q35" s="19"/>
      <c r="R35" s="19"/>
      <c r="S35" s="19"/>
      <c r="T35" s="19"/>
      <c r="U35" s="19"/>
      <c r="V35" s="19"/>
      <c r="W35" s="19"/>
      <c r="X35" s="19"/>
      <c r="Y35" s="19"/>
      <c r="Z35" s="19"/>
    </row>
    <row r="36" spans="1:26" ht="28.5" customHeight="1" x14ac:dyDescent="0.3">
      <c r="A36" s="45" t="s">
        <v>477</v>
      </c>
      <c r="B36" s="48" t="s">
        <v>196</v>
      </c>
      <c r="C36" s="45" t="s">
        <v>512</v>
      </c>
      <c r="D36" s="45" t="s">
        <v>6</v>
      </c>
      <c r="E36" s="45">
        <v>3</v>
      </c>
      <c r="F36" s="47" t="s">
        <v>34</v>
      </c>
      <c r="G36" s="19"/>
      <c r="H36" s="19"/>
      <c r="I36" s="19"/>
      <c r="J36" s="19"/>
      <c r="K36" s="19"/>
      <c r="L36" s="19"/>
      <c r="M36" s="19"/>
      <c r="N36" s="19"/>
      <c r="O36" s="19"/>
      <c r="P36" s="19"/>
      <c r="Q36" s="19"/>
      <c r="R36" s="19"/>
      <c r="S36" s="19"/>
      <c r="T36" s="19"/>
      <c r="U36" s="19"/>
      <c r="V36" s="19"/>
      <c r="W36" s="19"/>
      <c r="X36" s="19"/>
      <c r="Y36" s="19"/>
      <c r="Z36" s="19"/>
    </row>
    <row r="37" spans="1:26" ht="42" customHeight="1" x14ac:dyDescent="0.3">
      <c r="A37" s="45" t="s">
        <v>477</v>
      </c>
      <c r="B37" s="51" t="s">
        <v>198</v>
      </c>
      <c r="C37" s="45" t="s">
        <v>513</v>
      </c>
      <c r="D37" s="45" t="s">
        <v>6</v>
      </c>
      <c r="E37" s="45">
        <v>8</v>
      </c>
      <c r="F37" s="47" t="s">
        <v>34</v>
      </c>
      <c r="G37" s="19"/>
      <c r="H37" s="19"/>
      <c r="I37" s="19"/>
      <c r="J37" s="19"/>
      <c r="K37" s="19"/>
      <c r="L37" s="19"/>
      <c r="M37" s="19"/>
      <c r="N37" s="19"/>
      <c r="O37" s="19"/>
      <c r="P37" s="19"/>
      <c r="Q37" s="19"/>
      <c r="R37" s="19"/>
      <c r="S37" s="19"/>
      <c r="T37" s="19"/>
      <c r="U37" s="19"/>
      <c r="V37" s="19"/>
      <c r="W37" s="19"/>
      <c r="X37" s="19"/>
      <c r="Y37" s="19"/>
      <c r="Z37" s="19"/>
    </row>
    <row r="38" spans="1:26" ht="28.5" customHeight="1" x14ac:dyDescent="0.3">
      <c r="A38" s="45" t="s">
        <v>477</v>
      </c>
      <c r="B38" s="51" t="s">
        <v>198</v>
      </c>
      <c r="C38" s="45" t="s">
        <v>514</v>
      </c>
      <c r="D38" s="45" t="s">
        <v>6</v>
      </c>
      <c r="E38" s="45">
        <v>2</v>
      </c>
      <c r="F38" s="47" t="s">
        <v>34</v>
      </c>
      <c r="G38" s="19"/>
      <c r="H38" s="19"/>
      <c r="I38" s="19"/>
      <c r="J38" s="19"/>
      <c r="K38" s="19"/>
      <c r="L38" s="19"/>
      <c r="M38" s="19"/>
      <c r="N38" s="19"/>
      <c r="O38" s="19"/>
      <c r="P38" s="19"/>
      <c r="Q38" s="19"/>
      <c r="R38" s="19"/>
      <c r="S38" s="19"/>
      <c r="T38" s="19"/>
      <c r="U38" s="19"/>
      <c r="V38" s="19"/>
      <c r="W38" s="19"/>
      <c r="X38" s="19"/>
      <c r="Y38" s="19"/>
      <c r="Z38" s="19"/>
    </row>
    <row r="39" spans="1:26" ht="42" customHeight="1" x14ac:dyDescent="0.3">
      <c r="A39" s="45" t="s">
        <v>477</v>
      </c>
      <c r="B39" s="49" t="s">
        <v>200</v>
      </c>
      <c r="C39" s="45" t="s">
        <v>515</v>
      </c>
      <c r="D39" s="45" t="s">
        <v>6</v>
      </c>
      <c r="E39" s="45">
        <v>2</v>
      </c>
      <c r="F39" s="47" t="s">
        <v>34</v>
      </c>
      <c r="G39" s="19"/>
      <c r="H39" s="19"/>
      <c r="I39" s="19"/>
      <c r="J39" s="19"/>
      <c r="K39" s="19"/>
      <c r="L39" s="19"/>
      <c r="M39" s="19"/>
      <c r="N39" s="19"/>
      <c r="O39" s="19"/>
      <c r="P39" s="19"/>
      <c r="Q39" s="19"/>
      <c r="R39" s="19"/>
      <c r="S39" s="19"/>
      <c r="T39" s="19"/>
      <c r="U39" s="19"/>
      <c r="V39" s="19"/>
      <c r="W39" s="19"/>
      <c r="X39" s="19"/>
      <c r="Y39" s="19"/>
      <c r="Z39" s="19"/>
    </row>
    <row r="40" spans="1:26" ht="28.5" customHeight="1" x14ac:dyDescent="0.3">
      <c r="A40" s="45" t="s">
        <v>480</v>
      </c>
      <c r="B40" s="52" t="s">
        <v>192</v>
      </c>
      <c r="C40" s="45" t="s">
        <v>516</v>
      </c>
      <c r="D40" s="45" t="s">
        <v>6</v>
      </c>
      <c r="E40" s="45">
        <v>2</v>
      </c>
      <c r="F40" s="47" t="s">
        <v>34</v>
      </c>
      <c r="G40" s="19"/>
      <c r="H40" s="19"/>
      <c r="I40" s="19"/>
      <c r="J40" s="19"/>
      <c r="K40" s="19"/>
      <c r="L40" s="19"/>
      <c r="M40" s="19"/>
      <c r="N40" s="19"/>
      <c r="O40" s="19"/>
      <c r="P40" s="19"/>
      <c r="Q40" s="19"/>
      <c r="R40" s="19"/>
      <c r="S40" s="19"/>
      <c r="T40" s="19"/>
      <c r="U40" s="19"/>
      <c r="V40" s="19"/>
      <c r="W40" s="19"/>
      <c r="X40" s="19"/>
      <c r="Y40" s="19"/>
      <c r="Z40" s="19"/>
    </row>
    <row r="41" spans="1:26" ht="28.5" customHeight="1" x14ac:dyDescent="0.3">
      <c r="A41" s="45" t="s">
        <v>480</v>
      </c>
      <c r="B41" s="46" t="s">
        <v>194</v>
      </c>
      <c r="C41" s="45" t="s">
        <v>517</v>
      </c>
      <c r="D41" s="45" t="s">
        <v>6</v>
      </c>
      <c r="E41" s="45">
        <v>2</v>
      </c>
      <c r="F41" s="47" t="s">
        <v>34</v>
      </c>
      <c r="G41" s="19"/>
      <c r="H41" s="19"/>
      <c r="I41" s="19"/>
      <c r="J41" s="19"/>
      <c r="K41" s="19"/>
      <c r="L41" s="19"/>
      <c r="M41" s="19"/>
      <c r="N41" s="19"/>
      <c r="O41" s="19"/>
      <c r="P41" s="19"/>
      <c r="Q41" s="19"/>
      <c r="R41" s="19"/>
      <c r="S41" s="19"/>
      <c r="T41" s="19"/>
      <c r="U41" s="19"/>
      <c r="V41" s="19"/>
      <c r="W41" s="19"/>
      <c r="X41" s="19"/>
      <c r="Y41" s="19"/>
      <c r="Z41" s="19"/>
    </row>
    <row r="42" spans="1:26" ht="28.5" customHeight="1" x14ac:dyDescent="0.3">
      <c r="A42" s="45" t="s">
        <v>480</v>
      </c>
      <c r="B42" s="48" t="s">
        <v>196</v>
      </c>
      <c r="C42" s="45" t="s">
        <v>518</v>
      </c>
      <c r="D42" s="45" t="s">
        <v>6</v>
      </c>
      <c r="E42" s="45">
        <v>5</v>
      </c>
      <c r="F42" s="47" t="s">
        <v>34</v>
      </c>
      <c r="G42" s="19"/>
      <c r="H42" s="19"/>
      <c r="I42" s="19"/>
      <c r="J42" s="19"/>
      <c r="K42" s="19"/>
      <c r="L42" s="19"/>
      <c r="M42" s="19"/>
      <c r="N42" s="19"/>
      <c r="O42" s="19"/>
      <c r="P42" s="19"/>
      <c r="Q42" s="19"/>
      <c r="R42" s="19"/>
      <c r="S42" s="19"/>
      <c r="T42" s="19"/>
      <c r="U42" s="19"/>
      <c r="V42" s="19"/>
      <c r="W42" s="19"/>
      <c r="X42" s="19"/>
      <c r="Y42" s="19"/>
      <c r="Z42" s="19"/>
    </row>
    <row r="43" spans="1:26" ht="28.5" customHeight="1" x14ac:dyDescent="0.3">
      <c r="A43" s="45" t="s">
        <v>480</v>
      </c>
      <c r="B43" s="51" t="s">
        <v>198</v>
      </c>
      <c r="C43" s="45" t="s">
        <v>519</v>
      </c>
      <c r="D43" s="45" t="s">
        <v>6</v>
      </c>
      <c r="E43" s="45">
        <v>3</v>
      </c>
      <c r="F43" s="47" t="s">
        <v>34</v>
      </c>
      <c r="G43" s="19"/>
      <c r="H43" s="19"/>
      <c r="I43" s="19"/>
      <c r="J43" s="19"/>
      <c r="K43" s="19"/>
      <c r="L43" s="19"/>
      <c r="M43" s="19"/>
      <c r="N43" s="19"/>
      <c r="O43" s="19"/>
      <c r="P43" s="19"/>
      <c r="Q43" s="19"/>
      <c r="R43" s="19"/>
      <c r="S43" s="19"/>
      <c r="T43" s="19"/>
      <c r="U43" s="19"/>
      <c r="V43" s="19"/>
      <c r="W43" s="19"/>
      <c r="X43" s="19"/>
      <c r="Y43" s="19"/>
      <c r="Z43" s="19"/>
    </row>
    <row r="44" spans="1:26" ht="28.5" customHeight="1" x14ac:dyDescent="0.3">
      <c r="A44" s="45" t="s">
        <v>480</v>
      </c>
      <c r="B44" s="49" t="s">
        <v>200</v>
      </c>
      <c r="C44" s="45" t="s">
        <v>520</v>
      </c>
      <c r="D44" s="45" t="s">
        <v>6</v>
      </c>
      <c r="E44" s="45">
        <v>2</v>
      </c>
      <c r="F44" s="47" t="s">
        <v>34</v>
      </c>
      <c r="G44" s="19"/>
      <c r="H44" s="19"/>
      <c r="I44" s="19"/>
      <c r="J44" s="19"/>
      <c r="K44" s="19"/>
      <c r="L44" s="19"/>
      <c r="M44" s="19"/>
      <c r="N44" s="19"/>
      <c r="O44" s="19"/>
      <c r="P44" s="19"/>
      <c r="Q44" s="19"/>
      <c r="R44" s="19"/>
      <c r="S44" s="19"/>
      <c r="T44" s="19"/>
      <c r="U44" s="19"/>
      <c r="V44" s="19"/>
      <c r="W44" s="19"/>
      <c r="X44" s="19"/>
      <c r="Y44" s="19"/>
      <c r="Z44" s="19"/>
    </row>
    <row r="45" spans="1:26" ht="28.5" customHeight="1" x14ac:dyDescent="0.3">
      <c r="A45" s="45" t="s">
        <v>483</v>
      </c>
      <c r="B45" s="52" t="s">
        <v>192</v>
      </c>
      <c r="C45" s="45" t="s">
        <v>521</v>
      </c>
      <c r="D45" s="45" t="s">
        <v>6</v>
      </c>
      <c r="E45" s="45">
        <v>1</v>
      </c>
      <c r="F45" s="47" t="s">
        <v>34</v>
      </c>
      <c r="G45" s="19"/>
      <c r="H45" s="19"/>
      <c r="I45" s="19"/>
      <c r="J45" s="19"/>
      <c r="K45" s="19"/>
      <c r="L45" s="19"/>
      <c r="M45" s="19"/>
      <c r="N45" s="19"/>
      <c r="O45" s="19"/>
      <c r="P45" s="19"/>
      <c r="Q45" s="19"/>
      <c r="R45" s="19"/>
      <c r="S45" s="19"/>
      <c r="T45" s="19"/>
      <c r="U45" s="19"/>
      <c r="V45" s="19"/>
      <c r="W45" s="19"/>
      <c r="X45" s="19"/>
      <c r="Y45" s="19"/>
      <c r="Z45" s="19"/>
    </row>
    <row r="46" spans="1:26" ht="42" customHeight="1" x14ac:dyDescent="0.3">
      <c r="A46" s="45" t="s">
        <v>483</v>
      </c>
      <c r="B46" s="48" t="s">
        <v>196</v>
      </c>
      <c r="C46" s="45" t="s">
        <v>522</v>
      </c>
      <c r="D46" s="45" t="s">
        <v>6</v>
      </c>
      <c r="E46" s="45">
        <v>3</v>
      </c>
      <c r="F46" s="47" t="s">
        <v>34</v>
      </c>
      <c r="G46" s="19"/>
      <c r="H46" s="19"/>
      <c r="I46" s="19"/>
      <c r="J46" s="19"/>
      <c r="K46" s="19"/>
      <c r="L46" s="19"/>
      <c r="M46" s="19"/>
      <c r="N46" s="19"/>
      <c r="O46" s="19"/>
      <c r="P46" s="19"/>
      <c r="Q46" s="19"/>
      <c r="R46" s="19"/>
      <c r="S46" s="19"/>
      <c r="T46" s="19"/>
      <c r="U46" s="19"/>
      <c r="V46" s="19"/>
      <c r="W46" s="19"/>
      <c r="X46" s="19"/>
      <c r="Y46" s="19"/>
      <c r="Z46" s="19"/>
    </row>
    <row r="47" spans="1:26" ht="28.5" customHeight="1" x14ac:dyDescent="0.3">
      <c r="A47" s="45" t="s">
        <v>483</v>
      </c>
      <c r="B47" s="51" t="s">
        <v>198</v>
      </c>
      <c r="C47" s="45" t="s">
        <v>523</v>
      </c>
      <c r="D47" s="45" t="s">
        <v>6</v>
      </c>
      <c r="E47" s="45">
        <v>5</v>
      </c>
      <c r="F47" s="47" t="s">
        <v>34</v>
      </c>
      <c r="G47" s="19"/>
      <c r="H47" s="19"/>
      <c r="I47" s="19"/>
      <c r="J47" s="19"/>
      <c r="K47" s="19"/>
      <c r="L47" s="19"/>
      <c r="M47" s="19"/>
      <c r="N47" s="19"/>
      <c r="O47" s="19"/>
      <c r="P47" s="19"/>
      <c r="Q47" s="19"/>
      <c r="R47" s="19"/>
      <c r="S47" s="19"/>
      <c r="T47" s="19"/>
      <c r="U47" s="19"/>
      <c r="V47" s="19"/>
      <c r="W47" s="19"/>
      <c r="X47" s="19"/>
      <c r="Y47" s="19"/>
      <c r="Z47" s="19"/>
    </row>
    <row r="48" spans="1:26" ht="28.5" customHeight="1" x14ac:dyDescent="0.3">
      <c r="A48" s="45" t="s">
        <v>483</v>
      </c>
      <c r="B48" s="49" t="s">
        <v>200</v>
      </c>
      <c r="C48" s="45" t="s">
        <v>524</v>
      </c>
      <c r="D48" s="45" t="s">
        <v>6</v>
      </c>
      <c r="E48" s="45">
        <v>2</v>
      </c>
      <c r="F48" s="47" t="s">
        <v>34</v>
      </c>
      <c r="G48" s="19"/>
      <c r="H48" s="19"/>
      <c r="I48" s="19"/>
      <c r="J48" s="19"/>
      <c r="K48" s="19"/>
      <c r="L48" s="19"/>
      <c r="M48" s="19"/>
      <c r="N48" s="19"/>
      <c r="O48" s="19"/>
      <c r="P48" s="19"/>
      <c r="Q48" s="19"/>
      <c r="R48" s="19"/>
      <c r="S48" s="19"/>
      <c r="T48" s="19"/>
      <c r="U48" s="19"/>
      <c r="V48" s="19"/>
      <c r="W48" s="19"/>
      <c r="X48" s="19"/>
      <c r="Y48" s="19"/>
      <c r="Z48" s="19"/>
    </row>
    <row r="49" spans="1:26" ht="28.5" customHeight="1" x14ac:dyDescent="0.3">
      <c r="A49" s="45" t="s">
        <v>486</v>
      </c>
      <c r="B49" s="52" t="s">
        <v>192</v>
      </c>
      <c r="C49" s="45" t="s">
        <v>525</v>
      </c>
      <c r="D49" s="45" t="s">
        <v>12</v>
      </c>
      <c r="E49" s="45">
        <v>2</v>
      </c>
      <c r="F49" s="47" t="s">
        <v>34</v>
      </c>
      <c r="G49" s="19"/>
      <c r="H49" s="19"/>
      <c r="I49" s="19"/>
      <c r="J49" s="19"/>
      <c r="K49" s="19"/>
      <c r="L49" s="19"/>
      <c r="M49" s="19"/>
      <c r="N49" s="19"/>
      <c r="O49" s="19"/>
      <c r="P49" s="19"/>
      <c r="Q49" s="19"/>
      <c r="R49" s="19"/>
      <c r="S49" s="19"/>
      <c r="T49" s="19"/>
      <c r="U49" s="19"/>
      <c r="V49" s="19"/>
      <c r="W49" s="19"/>
      <c r="X49" s="19"/>
      <c r="Y49" s="19"/>
      <c r="Z49" s="19"/>
    </row>
    <row r="50" spans="1:26" ht="30" customHeight="1" x14ac:dyDescent="0.3">
      <c r="A50" s="45" t="s">
        <v>486</v>
      </c>
      <c r="B50" s="46" t="s">
        <v>194</v>
      </c>
      <c r="C50" s="45" t="s">
        <v>526</v>
      </c>
      <c r="D50" s="45" t="s">
        <v>12</v>
      </c>
      <c r="E50" s="45">
        <v>1</v>
      </c>
      <c r="F50" s="47" t="s">
        <v>34</v>
      </c>
      <c r="G50" s="19"/>
      <c r="H50" s="19"/>
      <c r="I50" s="19"/>
      <c r="J50" s="19"/>
      <c r="K50" s="19"/>
      <c r="L50" s="19"/>
      <c r="M50" s="19"/>
      <c r="N50" s="19"/>
      <c r="O50" s="19"/>
      <c r="P50" s="19"/>
      <c r="Q50" s="19"/>
      <c r="R50" s="19"/>
      <c r="S50" s="19"/>
      <c r="T50" s="19"/>
      <c r="U50" s="19"/>
      <c r="V50" s="19"/>
      <c r="W50" s="19"/>
      <c r="X50" s="19"/>
      <c r="Y50" s="19"/>
      <c r="Z50" s="19"/>
    </row>
    <row r="51" spans="1:26" ht="28.5" customHeight="1" x14ac:dyDescent="0.3">
      <c r="A51" s="45" t="s">
        <v>486</v>
      </c>
      <c r="B51" s="48" t="s">
        <v>196</v>
      </c>
      <c r="C51" s="45" t="s">
        <v>527</v>
      </c>
      <c r="D51" s="45" t="s">
        <v>12</v>
      </c>
      <c r="E51" s="45">
        <v>3</v>
      </c>
      <c r="F51" s="47" t="s">
        <v>34</v>
      </c>
      <c r="G51" s="19"/>
      <c r="H51" s="19"/>
      <c r="I51" s="19"/>
      <c r="J51" s="19"/>
      <c r="K51" s="19"/>
      <c r="L51" s="19"/>
      <c r="M51" s="19"/>
      <c r="N51" s="19"/>
      <c r="O51" s="19"/>
      <c r="P51" s="19"/>
      <c r="Q51" s="19"/>
      <c r="R51" s="19"/>
      <c r="S51" s="19"/>
      <c r="T51" s="19"/>
      <c r="U51" s="19"/>
      <c r="V51" s="19"/>
      <c r="W51" s="19"/>
      <c r="X51" s="19"/>
      <c r="Y51" s="19"/>
      <c r="Z51" s="19"/>
    </row>
    <row r="52" spans="1:26" ht="28.5" customHeight="1" x14ac:dyDescent="0.3">
      <c r="A52" s="45" t="s">
        <v>486</v>
      </c>
      <c r="B52" s="51" t="s">
        <v>198</v>
      </c>
      <c r="C52" s="45" t="s">
        <v>528</v>
      </c>
      <c r="D52" s="45" t="s">
        <v>12</v>
      </c>
      <c r="E52" s="45">
        <v>6</v>
      </c>
      <c r="F52" s="47" t="s">
        <v>34</v>
      </c>
      <c r="G52" s="19"/>
      <c r="H52" s="19"/>
      <c r="I52" s="19"/>
      <c r="J52" s="19"/>
      <c r="K52" s="19"/>
      <c r="L52" s="19"/>
      <c r="M52" s="19"/>
      <c r="N52" s="19"/>
      <c r="O52" s="19"/>
      <c r="P52" s="19"/>
      <c r="Q52" s="19"/>
      <c r="R52" s="19"/>
      <c r="S52" s="19"/>
      <c r="T52" s="19"/>
      <c r="U52" s="19"/>
      <c r="V52" s="19"/>
      <c r="W52" s="19"/>
      <c r="X52" s="19"/>
      <c r="Y52" s="19"/>
      <c r="Z52" s="19"/>
    </row>
    <row r="53" spans="1:26" ht="28.5" customHeight="1" x14ac:dyDescent="0.3">
      <c r="A53" s="45" t="s">
        <v>486</v>
      </c>
      <c r="B53" s="49" t="s">
        <v>200</v>
      </c>
      <c r="C53" s="45" t="s">
        <v>529</v>
      </c>
      <c r="D53" s="45" t="s">
        <v>12</v>
      </c>
      <c r="E53" s="45">
        <v>2</v>
      </c>
      <c r="F53" s="47" t="s">
        <v>34</v>
      </c>
      <c r="G53" s="19"/>
      <c r="H53" s="19"/>
      <c r="I53" s="19"/>
      <c r="J53" s="19"/>
      <c r="K53" s="19"/>
      <c r="L53" s="19"/>
      <c r="M53" s="19"/>
      <c r="N53" s="19"/>
      <c r="O53" s="19"/>
      <c r="P53" s="19"/>
      <c r="Q53" s="19"/>
      <c r="R53" s="19"/>
      <c r="S53" s="19"/>
      <c r="T53" s="19"/>
      <c r="U53" s="19"/>
      <c r="V53" s="19"/>
      <c r="W53" s="19"/>
      <c r="X53" s="19"/>
      <c r="Y53" s="19"/>
      <c r="Z53" s="19"/>
    </row>
    <row r="54" spans="1:26" ht="28.5" customHeight="1" x14ac:dyDescent="0.3">
      <c r="A54" s="45" t="s">
        <v>489</v>
      </c>
      <c r="B54" s="52" t="s">
        <v>192</v>
      </c>
      <c r="C54" s="45" t="s">
        <v>530</v>
      </c>
      <c r="D54" s="45" t="s">
        <v>18</v>
      </c>
      <c r="E54" s="45">
        <v>1</v>
      </c>
      <c r="F54" s="47" t="s">
        <v>34</v>
      </c>
      <c r="G54" s="19"/>
      <c r="H54" s="19"/>
      <c r="I54" s="19"/>
      <c r="J54" s="19"/>
      <c r="K54" s="19"/>
      <c r="L54" s="19"/>
      <c r="M54" s="19"/>
      <c r="N54" s="19"/>
      <c r="O54" s="19"/>
      <c r="P54" s="19"/>
      <c r="Q54" s="19"/>
      <c r="R54" s="19"/>
      <c r="S54" s="19"/>
      <c r="T54" s="19"/>
      <c r="U54" s="19"/>
      <c r="V54" s="19"/>
      <c r="W54" s="19"/>
      <c r="X54" s="19"/>
      <c r="Y54" s="19"/>
      <c r="Z54" s="19"/>
    </row>
    <row r="55" spans="1:26" ht="30" customHeight="1" x14ac:dyDescent="0.3">
      <c r="A55" s="45" t="s">
        <v>489</v>
      </c>
      <c r="B55" s="46" t="s">
        <v>194</v>
      </c>
      <c r="C55" s="45" t="s">
        <v>531</v>
      </c>
      <c r="D55" s="45" t="s">
        <v>18</v>
      </c>
      <c r="E55" s="45">
        <v>1</v>
      </c>
      <c r="F55" s="47" t="s">
        <v>34</v>
      </c>
      <c r="G55" s="19"/>
      <c r="H55" s="19"/>
      <c r="I55" s="19"/>
      <c r="J55" s="19"/>
      <c r="K55" s="19"/>
      <c r="L55" s="19"/>
      <c r="M55" s="19"/>
      <c r="N55" s="19"/>
      <c r="O55" s="19"/>
      <c r="P55" s="19"/>
      <c r="Q55" s="19"/>
      <c r="R55" s="19"/>
      <c r="S55" s="19"/>
      <c r="T55" s="19"/>
      <c r="U55" s="19"/>
      <c r="V55" s="19"/>
      <c r="W55" s="19"/>
      <c r="X55" s="19"/>
      <c r="Y55" s="19"/>
      <c r="Z55" s="19"/>
    </row>
    <row r="56" spans="1:26" ht="28.5" customHeight="1" x14ac:dyDescent="0.3">
      <c r="A56" s="45" t="s">
        <v>489</v>
      </c>
      <c r="B56" s="48" t="s">
        <v>196</v>
      </c>
      <c r="C56" s="45" t="s">
        <v>532</v>
      </c>
      <c r="D56" s="45" t="s">
        <v>18</v>
      </c>
      <c r="E56" s="45">
        <v>4</v>
      </c>
      <c r="F56" s="47" t="s">
        <v>34</v>
      </c>
      <c r="G56" s="19"/>
      <c r="H56" s="19"/>
      <c r="I56" s="19"/>
      <c r="J56" s="19"/>
      <c r="K56" s="19"/>
      <c r="L56" s="19"/>
      <c r="M56" s="19"/>
      <c r="N56" s="19"/>
      <c r="O56" s="19"/>
      <c r="P56" s="19"/>
      <c r="Q56" s="19"/>
      <c r="R56" s="19"/>
      <c r="S56" s="19"/>
      <c r="T56" s="19"/>
      <c r="U56" s="19"/>
      <c r="V56" s="19"/>
      <c r="W56" s="19"/>
      <c r="X56" s="19"/>
      <c r="Y56" s="19"/>
      <c r="Z56" s="19"/>
    </row>
    <row r="57" spans="1:26" ht="28.5" customHeight="1" x14ac:dyDescent="0.3">
      <c r="A57" s="45" t="s">
        <v>489</v>
      </c>
      <c r="B57" s="51" t="s">
        <v>198</v>
      </c>
      <c r="C57" s="45" t="s">
        <v>533</v>
      </c>
      <c r="D57" s="45" t="s">
        <v>18</v>
      </c>
      <c r="E57" s="45">
        <v>4</v>
      </c>
      <c r="F57" s="47" t="s">
        <v>34</v>
      </c>
      <c r="G57" s="19"/>
      <c r="H57" s="19"/>
      <c r="I57" s="19"/>
      <c r="J57" s="19"/>
      <c r="K57" s="19"/>
      <c r="L57" s="19"/>
      <c r="M57" s="19"/>
      <c r="N57" s="19"/>
      <c r="O57" s="19"/>
      <c r="P57" s="19"/>
      <c r="Q57" s="19"/>
      <c r="R57" s="19"/>
      <c r="S57" s="19"/>
      <c r="T57" s="19"/>
      <c r="U57" s="19"/>
      <c r="V57" s="19"/>
      <c r="W57" s="19"/>
      <c r="X57" s="19"/>
      <c r="Y57" s="19"/>
      <c r="Z57" s="19"/>
    </row>
    <row r="58" spans="1:26" ht="28.5" customHeight="1" x14ac:dyDescent="0.3">
      <c r="A58" s="45" t="s">
        <v>489</v>
      </c>
      <c r="B58" s="49" t="s">
        <v>200</v>
      </c>
      <c r="C58" s="45" t="s">
        <v>534</v>
      </c>
      <c r="D58" s="45" t="s">
        <v>18</v>
      </c>
      <c r="E58" s="45">
        <v>1</v>
      </c>
      <c r="F58" s="47" t="s">
        <v>34</v>
      </c>
      <c r="G58" s="19"/>
      <c r="H58" s="19"/>
      <c r="I58" s="19"/>
      <c r="J58" s="19"/>
      <c r="K58" s="19"/>
      <c r="L58" s="19"/>
      <c r="M58" s="19"/>
      <c r="N58" s="19"/>
      <c r="O58" s="19"/>
      <c r="P58" s="19"/>
      <c r="Q58" s="19"/>
      <c r="R58" s="19"/>
      <c r="S58" s="19"/>
      <c r="T58" s="19"/>
      <c r="U58" s="19"/>
      <c r="V58" s="19"/>
      <c r="W58" s="19"/>
      <c r="X58" s="19"/>
      <c r="Y58" s="19"/>
      <c r="Z58" s="19"/>
    </row>
    <row r="59" spans="1:26" ht="28.5" customHeight="1" x14ac:dyDescent="0.3">
      <c r="A59" s="45" t="s">
        <v>492</v>
      </c>
      <c r="B59" s="52" t="s">
        <v>192</v>
      </c>
      <c r="C59" s="45" t="s">
        <v>535</v>
      </c>
      <c r="D59" s="45" t="s">
        <v>15</v>
      </c>
      <c r="E59" s="45">
        <v>1</v>
      </c>
      <c r="F59" s="47" t="s">
        <v>34</v>
      </c>
      <c r="G59" s="19"/>
      <c r="H59" s="19"/>
      <c r="I59" s="19"/>
      <c r="J59" s="19"/>
      <c r="K59" s="19"/>
      <c r="L59" s="19"/>
      <c r="M59" s="19"/>
      <c r="N59" s="19"/>
      <c r="O59" s="19"/>
      <c r="P59" s="19"/>
      <c r="Q59" s="19"/>
      <c r="R59" s="19"/>
      <c r="S59" s="19"/>
      <c r="T59" s="19"/>
      <c r="U59" s="19"/>
      <c r="V59" s="19"/>
      <c r="W59" s="19"/>
      <c r="X59" s="19"/>
      <c r="Y59" s="19"/>
      <c r="Z59" s="19"/>
    </row>
    <row r="60" spans="1:26" ht="28.5" customHeight="1" x14ac:dyDescent="0.3">
      <c r="A60" s="45" t="s">
        <v>492</v>
      </c>
      <c r="B60" s="46" t="s">
        <v>194</v>
      </c>
      <c r="C60" s="45" t="s">
        <v>536</v>
      </c>
      <c r="D60" s="45" t="s">
        <v>15</v>
      </c>
      <c r="E60" s="45">
        <v>1</v>
      </c>
      <c r="F60" s="47" t="s">
        <v>34</v>
      </c>
      <c r="G60" s="19"/>
      <c r="H60" s="19"/>
      <c r="I60" s="19"/>
      <c r="J60" s="19"/>
      <c r="K60" s="19"/>
      <c r="L60" s="19"/>
      <c r="M60" s="19"/>
      <c r="N60" s="19"/>
      <c r="O60" s="19"/>
      <c r="P60" s="19"/>
      <c r="Q60" s="19"/>
      <c r="R60" s="19"/>
      <c r="S60" s="19"/>
      <c r="T60" s="19"/>
      <c r="U60" s="19"/>
      <c r="V60" s="19"/>
      <c r="W60" s="19"/>
      <c r="X60" s="19"/>
      <c r="Y60" s="19"/>
      <c r="Z60" s="19"/>
    </row>
    <row r="61" spans="1:26" ht="28.5" customHeight="1" x14ac:dyDescent="0.3">
      <c r="A61" s="45" t="s">
        <v>492</v>
      </c>
      <c r="B61" s="48" t="s">
        <v>196</v>
      </c>
      <c r="C61" s="45" t="s">
        <v>537</v>
      </c>
      <c r="D61" s="45" t="s">
        <v>15</v>
      </c>
      <c r="E61" s="45">
        <v>4</v>
      </c>
      <c r="F61" s="47" t="s">
        <v>34</v>
      </c>
      <c r="G61" s="19"/>
      <c r="H61" s="19"/>
      <c r="I61" s="19"/>
      <c r="J61" s="19"/>
      <c r="K61" s="19"/>
      <c r="L61" s="19"/>
      <c r="M61" s="19"/>
      <c r="N61" s="19"/>
      <c r="O61" s="19"/>
      <c r="P61" s="19"/>
      <c r="Q61" s="19"/>
      <c r="R61" s="19"/>
      <c r="S61" s="19"/>
      <c r="T61" s="19"/>
      <c r="U61" s="19"/>
      <c r="V61" s="19"/>
      <c r="W61" s="19"/>
      <c r="X61" s="19"/>
      <c r="Y61" s="19"/>
      <c r="Z61" s="19"/>
    </row>
    <row r="62" spans="1:26" ht="30" customHeight="1" x14ac:dyDescent="0.3">
      <c r="A62" s="45" t="s">
        <v>492</v>
      </c>
      <c r="B62" s="51" t="s">
        <v>198</v>
      </c>
      <c r="C62" s="45" t="s">
        <v>538</v>
      </c>
      <c r="D62" s="45" t="s">
        <v>15</v>
      </c>
      <c r="E62" s="45">
        <v>3</v>
      </c>
      <c r="F62" s="47" t="s">
        <v>34</v>
      </c>
      <c r="G62" s="19"/>
      <c r="H62" s="19"/>
      <c r="I62" s="19"/>
      <c r="J62" s="19"/>
      <c r="K62" s="19"/>
      <c r="L62" s="19"/>
      <c r="M62" s="19"/>
      <c r="N62" s="19"/>
      <c r="O62" s="19"/>
      <c r="P62" s="19"/>
      <c r="Q62" s="19"/>
      <c r="R62" s="19"/>
      <c r="S62" s="19"/>
      <c r="T62" s="19"/>
      <c r="U62" s="19"/>
      <c r="V62" s="19"/>
      <c r="W62" s="19"/>
      <c r="X62" s="19"/>
      <c r="Y62" s="19"/>
      <c r="Z62" s="19"/>
    </row>
    <row r="63" spans="1:26" ht="28.5" customHeight="1" x14ac:dyDescent="0.3">
      <c r="A63" s="45" t="s">
        <v>492</v>
      </c>
      <c r="B63" s="49" t="s">
        <v>200</v>
      </c>
      <c r="C63" s="45" t="s">
        <v>539</v>
      </c>
      <c r="D63" s="45" t="s">
        <v>15</v>
      </c>
      <c r="E63" s="45">
        <v>1</v>
      </c>
      <c r="F63" s="47" t="s">
        <v>34</v>
      </c>
      <c r="G63" s="19"/>
      <c r="H63" s="19"/>
      <c r="I63" s="19"/>
      <c r="J63" s="19"/>
      <c r="K63" s="19"/>
      <c r="L63" s="19"/>
      <c r="M63" s="19"/>
      <c r="N63" s="19"/>
      <c r="O63" s="19"/>
      <c r="P63" s="19"/>
      <c r="Q63" s="19"/>
      <c r="R63" s="19"/>
      <c r="S63" s="19"/>
      <c r="T63" s="19"/>
      <c r="U63" s="19"/>
      <c r="V63" s="19"/>
      <c r="W63" s="19"/>
      <c r="X63" s="19"/>
      <c r="Y63" s="19"/>
      <c r="Z63" s="19"/>
    </row>
    <row r="64" spans="1:26" ht="28.5" customHeight="1" x14ac:dyDescent="0.3">
      <c r="A64" s="45" t="s">
        <v>495</v>
      </c>
      <c r="B64" s="52" t="s">
        <v>192</v>
      </c>
      <c r="C64" s="45" t="s">
        <v>540</v>
      </c>
      <c r="D64" s="45" t="s">
        <v>9</v>
      </c>
      <c r="E64" s="45">
        <v>1</v>
      </c>
      <c r="F64" s="47" t="s">
        <v>34</v>
      </c>
      <c r="G64" s="19"/>
      <c r="H64" s="19"/>
      <c r="I64" s="19"/>
      <c r="J64" s="19"/>
      <c r="K64" s="19"/>
      <c r="L64" s="19"/>
      <c r="M64" s="19"/>
      <c r="N64" s="19"/>
      <c r="O64" s="19"/>
      <c r="P64" s="19"/>
      <c r="Q64" s="19"/>
      <c r="R64" s="19"/>
      <c r="S64" s="19"/>
      <c r="T64" s="19"/>
      <c r="U64" s="19"/>
      <c r="V64" s="19"/>
      <c r="W64" s="19"/>
      <c r="X64" s="19"/>
      <c r="Y64" s="19"/>
      <c r="Z64" s="19"/>
    </row>
    <row r="65" spans="1:26" ht="28.5" customHeight="1" x14ac:dyDescent="0.3">
      <c r="A65" s="45" t="s">
        <v>495</v>
      </c>
      <c r="B65" s="46" t="s">
        <v>194</v>
      </c>
      <c r="C65" s="45" t="s">
        <v>541</v>
      </c>
      <c r="D65" s="45" t="s">
        <v>9</v>
      </c>
      <c r="E65" s="45">
        <v>2</v>
      </c>
      <c r="F65" s="47" t="s">
        <v>34</v>
      </c>
      <c r="G65" s="19"/>
      <c r="H65" s="19"/>
      <c r="I65" s="19"/>
      <c r="J65" s="19"/>
      <c r="K65" s="19"/>
      <c r="L65" s="19"/>
      <c r="M65" s="19"/>
      <c r="N65" s="19"/>
      <c r="O65" s="19"/>
      <c r="P65" s="19"/>
      <c r="Q65" s="19"/>
      <c r="R65" s="19"/>
      <c r="S65" s="19"/>
      <c r="T65" s="19"/>
      <c r="U65" s="19"/>
      <c r="V65" s="19"/>
      <c r="W65" s="19"/>
      <c r="X65" s="19"/>
      <c r="Y65" s="19"/>
      <c r="Z65" s="19"/>
    </row>
    <row r="66" spans="1:26" ht="28.5" customHeight="1" x14ac:dyDescent="0.3">
      <c r="A66" s="45" t="s">
        <v>495</v>
      </c>
      <c r="B66" s="48" t="s">
        <v>196</v>
      </c>
      <c r="C66" s="45" t="s">
        <v>542</v>
      </c>
      <c r="D66" s="45" t="s">
        <v>9</v>
      </c>
      <c r="E66" s="45">
        <v>4</v>
      </c>
      <c r="F66" s="47" t="s">
        <v>34</v>
      </c>
      <c r="G66" s="19"/>
      <c r="H66" s="19"/>
      <c r="I66" s="19"/>
      <c r="J66" s="19"/>
      <c r="K66" s="19"/>
      <c r="L66" s="19"/>
      <c r="M66" s="19"/>
      <c r="N66" s="19"/>
      <c r="O66" s="19"/>
      <c r="P66" s="19"/>
      <c r="Q66" s="19"/>
      <c r="R66" s="19"/>
      <c r="S66" s="19"/>
      <c r="T66" s="19"/>
      <c r="U66" s="19"/>
      <c r="V66" s="19"/>
      <c r="W66" s="19"/>
      <c r="X66" s="19"/>
      <c r="Y66" s="19"/>
      <c r="Z66" s="19"/>
    </row>
    <row r="67" spans="1:26" ht="28.5" customHeight="1" x14ac:dyDescent="0.3">
      <c r="A67" s="45" t="s">
        <v>495</v>
      </c>
      <c r="B67" s="51" t="s">
        <v>198</v>
      </c>
      <c r="C67" s="45" t="s">
        <v>543</v>
      </c>
      <c r="D67" s="45" t="s">
        <v>9</v>
      </c>
      <c r="E67" s="45">
        <v>4</v>
      </c>
      <c r="F67" s="47" t="s">
        <v>34</v>
      </c>
      <c r="G67" s="19"/>
      <c r="H67" s="19"/>
      <c r="I67" s="19"/>
      <c r="J67" s="19"/>
      <c r="K67" s="19"/>
      <c r="L67" s="19"/>
      <c r="M67" s="19"/>
      <c r="N67" s="19"/>
      <c r="O67" s="19"/>
      <c r="P67" s="19"/>
      <c r="Q67" s="19"/>
      <c r="R67" s="19"/>
      <c r="S67" s="19"/>
      <c r="T67" s="19"/>
      <c r="U67" s="19"/>
      <c r="V67" s="19"/>
      <c r="W67" s="19"/>
      <c r="X67" s="19"/>
      <c r="Y67" s="19"/>
      <c r="Z67" s="19"/>
    </row>
    <row r="68" spans="1:26" ht="28.5" customHeight="1" x14ac:dyDescent="0.3">
      <c r="A68" s="45" t="s">
        <v>495</v>
      </c>
      <c r="B68" s="49" t="s">
        <v>200</v>
      </c>
      <c r="C68" s="45" t="s">
        <v>544</v>
      </c>
      <c r="D68" s="45" t="s">
        <v>9</v>
      </c>
      <c r="E68" s="45">
        <v>1</v>
      </c>
      <c r="F68" s="47" t="s">
        <v>34</v>
      </c>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42" t="s">
        <v>545</v>
      </c>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43" t="s">
        <v>174</v>
      </c>
      <c r="B71" s="44"/>
      <c r="C71" s="44" t="s">
        <v>387</v>
      </c>
      <c r="D71" s="44" t="s">
        <v>388</v>
      </c>
      <c r="E71" s="44"/>
      <c r="F71" s="44" t="s">
        <v>389</v>
      </c>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45" t="s">
        <v>471</v>
      </c>
      <c r="B72" s="45"/>
      <c r="C72" s="45" t="s">
        <v>546</v>
      </c>
      <c r="D72" s="45" t="s">
        <v>6</v>
      </c>
      <c r="E72" s="45"/>
      <c r="F72" s="45" t="s">
        <v>18</v>
      </c>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45" t="s">
        <v>474</v>
      </c>
      <c r="B73" s="45"/>
      <c r="C73" s="45" t="s">
        <v>547</v>
      </c>
      <c r="D73" s="45" t="s">
        <v>6</v>
      </c>
      <c r="E73" s="45"/>
      <c r="F73" s="45" t="s">
        <v>18</v>
      </c>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45" t="s">
        <v>477</v>
      </c>
      <c r="B74" s="45"/>
      <c r="C74" s="45" t="s">
        <v>548</v>
      </c>
      <c r="D74" s="45" t="s">
        <v>6</v>
      </c>
      <c r="E74" s="45"/>
      <c r="F74" s="45" t="s">
        <v>18</v>
      </c>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45" t="s">
        <v>480</v>
      </c>
      <c r="B75" s="45"/>
      <c r="C75" s="45" t="s">
        <v>549</v>
      </c>
      <c r="D75" s="45" t="s">
        <v>6</v>
      </c>
      <c r="E75" s="45"/>
      <c r="F75" s="45" t="s">
        <v>18</v>
      </c>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45" t="s">
        <v>483</v>
      </c>
      <c r="B76" s="45"/>
      <c r="C76" s="45" t="s">
        <v>550</v>
      </c>
      <c r="D76" s="45" t="s">
        <v>6</v>
      </c>
      <c r="E76" s="45"/>
      <c r="F76" s="45" t="s">
        <v>18</v>
      </c>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45" t="s">
        <v>486</v>
      </c>
      <c r="B77" s="45"/>
      <c r="C77" s="45" t="s">
        <v>551</v>
      </c>
      <c r="D77" s="45" t="s">
        <v>12</v>
      </c>
      <c r="E77" s="45"/>
      <c r="F77" s="45" t="s">
        <v>6</v>
      </c>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45" t="s">
        <v>489</v>
      </c>
      <c r="B78" s="45"/>
      <c r="C78" s="45" t="s">
        <v>552</v>
      </c>
      <c r="D78" s="45" t="s">
        <v>18</v>
      </c>
      <c r="E78" s="45"/>
      <c r="F78" s="45" t="s">
        <v>12</v>
      </c>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45" t="s">
        <v>492</v>
      </c>
      <c r="B79" s="45"/>
      <c r="C79" s="45" t="s">
        <v>553</v>
      </c>
      <c r="D79" s="45" t="s">
        <v>15</v>
      </c>
      <c r="E79" s="45"/>
      <c r="F79" s="45" t="s">
        <v>9</v>
      </c>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45" t="s">
        <v>495</v>
      </c>
      <c r="B80" s="45"/>
      <c r="C80" s="45" t="s">
        <v>554</v>
      </c>
      <c r="D80" s="45" t="s">
        <v>9</v>
      </c>
      <c r="E80" s="45"/>
      <c r="F80" s="45" t="s">
        <v>15</v>
      </c>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42" t="s">
        <v>555</v>
      </c>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43" t="s">
        <v>174</v>
      </c>
      <c r="B83" s="44" t="s">
        <v>224</v>
      </c>
      <c r="C83" s="44" t="s">
        <v>225</v>
      </c>
      <c r="D83" s="44" t="s">
        <v>400</v>
      </c>
      <c r="E83" s="44" t="s">
        <v>191</v>
      </c>
      <c r="F83" s="44" t="s">
        <v>226</v>
      </c>
      <c r="G83" s="19"/>
      <c r="H83" s="19"/>
      <c r="I83" s="19"/>
      <c r="J83" s="19"/>
      <c r="K83" s="19"/>
      <c r="L83" s="19"/>
      <c r="M83" s="19"/>
      <c r="N83" s="19"/>
      <c r="O83" s="19"/>
      <c r="P83" s="19"/>
      <c r="Q83" s="19"/>
      <c r="R83" s="19"/>
      <c r="S83" s="19"/>
      <c r="T83" s="19"/>
      <c r="U83" s="19"/>
      <c r="V83" s="19"/>
      <c r="W83" s="19"/>
      <c r="X83" s="19"/>
      <c r="Y83" s="19"/>
      <c r="Z83" s="19"/>
    </row>
    <row r="84" spans="1:26" ht="42" customHeight="1" x14ac:dyDescent="0.3">
      <c r="A84" s="45" t="s">
        <v>471</v>
      </c>
      <c r="B84" s="50" t="s">
        <v>556</v>
      </c>
      <c r="C84" s="45" t="s">
        <v>557</v>
      </c>
      <c r="D84" s="45" t="s">
        <v>18</v>
      </c>
      <c r="E84" s="45">
        <v>1.5</v>
      </c>
      <c r="F84" s="21" t="s">
        <v>403</v>
      </c>
      <c r="G84" s="19"/>
      <c r="H84" s="19"/>
      <c r="I84" s="19"/>
      <c r="J84" s="19"/>
      <c r="K84" s="19"/>
      <c r="L84" s="19"/>
      <c r="M84" s="19"/>
      <c r="N84" s="19"/>
      <c r="O84" s="19"/>
      <c r="P84" s="19"/>
      <c r="Q84" s="19"/>
      <c r="R84" s="19"/>
      <c r="S84" s="19"/>
      <c r="T84" s="19"/>
      <c r="U84" s="19"/>
      <c r="V84" s="19"/>
      <c r="W84" s="19"/>
      <c r="X84" s="19"/>
      <c r="Y84" s="19"/>
      <c r="Z84" s="19"/>
    </row>
    <row r="85" spans="1:26" ht="42" customHeight="1" x14ac:dyDescent="0.3">
      <c r="A85" s="45" t="s">
        <v>471</v>
      </c>
      <c r="B85" s="50" t="s">
        <v>558</v>
      </c>
      <c r="C85" s="45" t="s">
        <v>559</v>
      </c>
      <c r="D85" s="45" t="s">
        <v>18</v>
      </c>
      <c r="E85" s="45">
        <v>1.5</v>
      </c>
      <c r="F85" s="21" t="s">
        <v>403</v>
      </c>
      <c r="G85" s="19"/>
      <c r="H85" s="19"/>
      <c r="I85" s="19"/>
      <c r="J85" s="19"/>
      <c r="K85" s="19"/>
      <c r="L85" s="19"/>
      <c r="M85" s="19"/>
      <c r="N85" s="19"/>
      <c r="O85" s="19"/>
      <c r="P85" s="19"/>
      <c r="Q85" s="19"/>
      <c r="R85" s="19"/>
      <c r="S85" s="19"/>
      <c r="T85" s="19"/>
      <c r="U85" s="19"/>
      <c r="V85" s="19"/>
      <c r="W85" s="19"/>
      <c r="X85" s="19"/>
      <c r="Y85" s="19"/>
      <c r="Z85" s="19"/>
    </row>
    <row r="86" spans="1:26" ht="28.5" customHeight="1" x14ac:dyDescent="0.3">
      <c r="A86" s="45" t="s">
        <v>474</v>
      </c>
      <c r="B86" s="50" t="s">
        <v>560</v>
      </c>
      <c r="C86" s="45" t="s">
        <v>561</v>
      </c>
      <c r="D86" s="45" t="s">
        <v>18</v>
      </c>
      <c r="E86" s="45">
        <v>1.5</v>
      </c>
      <c r="F86" s="21" t="s">
        <v>403</v>
      </c>
      <c r="G86" s="19"/>
      <c r="H86" s="19"/>
      <c r="I86" s="19"/>
      <c r="J86" s="19"/>
      <c r="K86" s="19"/>
      <c r="L86" s="19"/>
      <c r="M86" s="19"/>
      <c r="N86" s="19"/>
      <c r="O86" s="19"/>
      <c r="P86" s="19"/>
      <c r="Q86" s="19"/>
      <c r="R86" s="19"/>
      <c r="S86" s="19"/>
      <c r="T86" s="19"/>
      <c r="U86" s="19"/>
      <c r="V86" s="19"/>
      <c r="W86" s="19"/>
      <c r="X86" s="19"/>
      <c r="Y86" s="19"/>
      <c r="Z86" s="19"/>
    </row>
    <row r="87" spans="1:26" ht="28.5" customHeight="1" x14ac:dyDescent="0.3">
      <c r="A87" s="45" t="s">
        <v>477</v>
      </c>
      <c r="B87" s="50" t="s">
        <v>562</v>
      </c>
      <c r="C87" s="45" t="s">
        <v>563</v>
      </c>
      <c r="D87" s="45" t="s">
        <v>18</v>
      </c>
      <c r="E87" s="45">
        <v>1.5</v>
      </c>
      <c r="F87" s="21" t="s">
        <v>403</v>
      </c>
      <c r="G87" s="19"/>
      <c r="H87" s="19"/>
      <c r="I87" s="19"/>
      <c r="J87" s="19"/>
      <c r="K87" s="19"/>
      <c r="L87" s="19"/>
      <c r="M87" s="19"/>
      <c r="N87" s="19"/>
      <c r="O87" s="19"/>
      <c r="P87" s="19"/>
      <c r="Q87" s="19"/>
      <c r="R87" s="19"/>
      <c r="S87" s="19"/>
      <c r="T87" s="19"/>
      <c r="U87" s="19"/>
      <c r="V87" s="19"/>
      <c r="W87" s="19"/>
      <c r="X87" s="19"/>
      <c r="Y87" s="19"/>
      <c r="Z87" s="19"/>
    </row>
    <row r="88" spans="1:26" ht="42" customHeight="1" x14ac:dyDescent="0.3">
      <c r="A88" s="45" t="s">
        <v>477</v>
      </c>
      <c r="B88" s="50" t="s">
        <v>564</v>
      </c>
      <c r="C88" s="45" t="s">
        <v>565</v>
      </c>
      <c r="D88" s="45" t="s">
        <v>18</v>
      </c>
      <c r="E88" s="45">
        <v>1.5</v>
      </c>
      <c r="F88" s="21" t="s">
        <v>403</v>
      </c>
      <c r="G88" s="19"/>
      <c r="H88" s="19"/>
      <c r="I88" s="19"/>
      <c r="J88" s="19"/>
      <c r="K88" s="19"/>
      <c r="L88" s="19"/>
      <c r="M88" s="19"/>
      <c r="N88" s="19"/>
      <c r="O88" s="19"/>
      <c r="P88" s="19"/>
      <c r="Q88" s="19"/>
      <c r="R88" s="19"/>
      <c r="S88" s="19"/>
      <c r="T88" s="19"/>
      <c r="U88" s="19"/>
      <c r="V88" s="19"/>
      <c r="W88" s="19"/>
      <c r="X88" s="19"/>
      <c r="Y88" s="19"/>
      <c r="Z88" s="19"/>
    </row>
    <row r="89" spans="1:26" ht="28.5" customHeight="1" x14ac:dyDescent="0.3">
      <c r="A89" s="45" t="s">
        <v>477</v>
      </c>
      <c r="B89" s="50" t="s">
        <v>566</v>
      </c>
      <c r="C89" s="45" t="s">
        <v>567</v>
      </c>
      <c r="D89" s="45" t="s">
        <v>18</v>
      </c>
      <c r="E89" s="45">
        <v>1.5</v>
      </c>
      <c r="F89" s="21" t="s">
        <v>403</v>
      </c>
      <c r="G89" s="19"/>
      <c r="H89" s="19"/>
      <c r="I89" s="19"/>
      <c r="J89" s="19"/>
      <c r="K89" s="19"/>
      <c r="L89" s="19"/>
      <c r="M89" s="19"/>
      <c r="N89" s="19"/>
      <c r="O89" s="19"/>
      <c r="P89" s="19"/>
      <c r="Q89" s="19"/>
      <c r="R89" s="19"/>
      <c r="S89" s="19"/>
      <c r="T89" s="19"/>
      <c r="U89" s="19"/>
      <c r="V89" s="19"/>
      <c r="W89" s="19"/>
      <c r="X89" s="19"/>
      <c r="Y89" s="19"/>
      <c r="Z89" s="19"/>
    </row>
    <row r="90" spans="1:26" ht="42" customHeight="1" x14ac:dyDescent="0.3">
      <c r="A90" s="45" t="s">
        <v>480</v>
      </c>
      <c r="B90" s="50" t="s">
        <v>568</v>
      </c>
      <c r="C90" s="45" t="s">
        <v>569</v>
      </c>
      <c r="D90" s="45" t="s">
        <v>18</v>
      </c>
      <c r="E90" s="45">
        <v>1.5</v>
      </c>
      <c r="F90" s="21" t="s">
        <v>403</v>
      </c>
      <c r="G90" s="19"/>
      <c r="H90" s="19"/>
      <c r="I90" s="19"/>
      <c r="J90" s="19"/>
      <c r="K90" s="19"/>
      <c r="L90" s="19"/>
      <c r="M90" s="19"/>
      <c r="N90" s="19"/>
      <c r="O90" s="19"/>
      <c r="P90" s="19"/>
      <c r="Q90" s="19"/>
      <c r="R90" s="19"/>
      <c r="S90" s="19"/>
      <c r="T90" s="19"/>
      <c r="U90" s="19"/>
      <c r="V90" s="19"/>
      <c r="W90" s="19"/>
      <c r="X90" s="19"/>
      <c r="Y90" s="19"/>
      <c r="Z90" s="19"/>
    </row>
    <row r="91" spans="1:26" ht="42" customHeight="1" x14ac:dyDescent="0.3">
      <c r="A91" s="45" t="s">
        <v>480</v>
      </c>
      <c r="B91" s="50" t="s">
        <v>570</v>
      </c>
      <c r="C91" s="45" t="s">
        <v>571</v>
      </c>
      <c r="D91" s="45" t="s">
        <v>18</v>
      </c>
      <c r="E91" s="45">
        <v>1.5</v>
      </c>
      <c r="F91" s="21" t="s">
        <v>403</v>
      </c>
      <c r="G91" s="19"/>
      <c r="H91" s="19"/>
      <c r="I91" s="19"/>
      <c r="J91" s="19"/>
      <c r="K91" s="19"/>
      <c r="L91" s="19"/>
      <c r="M91" s="19"/>
      <c r="N91" s="19"/>
      <c r="O91" s="19"/>
      <c r="P91" s="19"/>
      <c r="Q91" s="19"/>
      <c r="R91" s="19"/>
      <c r="S91" s="19"/>
      <c r="T91" s="19"/>
      <c r="U91" s="19"/>
      <c r="V91" s="19"/>
      <c r="W91" s="19"/>
      <c r="X91" s="19"/>
      <c r="Y91" s="19"/>
      <c r="Z91" s="19"/>
    </row>
    <row r="92" spans="1:26" ht="42" customHeight="1" x14ac:dyDescent="0.3">
      <c r="A92" s="45" t="s">
        <v>483</v>
      </c>
      <c r="B92" s="50" t="s">
        <v>572</v>
      </c>
      <c r="C92" s="45" t="s">
        <v>573</v>
      </c>
      <c r="D92" s="45" t="s">
        <v>18</v>
      </c>
      <c r="E92" s="45">
        <v>1.5</v>
      </c>
      <c r="F92" s="21" t="s">
        <v>403</v>
      </c>
      <c r="G92" s="19"/>
      <c r="H92" s="19"/>
      <c r="I92" s="19"/>
      <c r="J92" s="19"/>
      <c r="K92" s="19"/>
      <c r="L92" s="19"/>
      <c r="M92" s="19"/>
      <c r="N92" s="19"/>
      <c r="O92" s="19"/>
      <c r="P92" s="19"/>
      <c r="Q92" s="19"/>
      <c r="R92" s="19"/>
      <c r="S92" s="19"/>
      <c r="T92" s="19"/>
      <c r="U92" s="19"/>
      <c r="V92" s="19"/>
      <c r="W92" s="19"/>
      <c r="X92" s="19"/>
      <c r="Y92" s="19"/>
      <c r="Z92" s="19"/>
    </row>
    <row r="93" spans="1:26" ht="28.5" customHeight="1" x14ac:dyDescent="0.3">
      <c r="A93" s="45" t="s">
        <v>483</v>
      </c>
      <c r="B93" s="50" t="s">
        <v>574</v>
      </c>
      <c r="C93" s="45" t="s">
        <v>575</v>
      </c>
      <c r="D93" s="45" t="s">
        <v>18</v>
      </c>
      <c r="E93" s="45">
        <v>1.5</v>
      </c>
      <c r="F93" s="21" t="s">
        <v>403</v>
      </c>
      <c r="G93" s="19"/>
      <c r="H93" s="19"/>
      <c r="I93" s="19"/>
      <c r="J93" s="19"/>
      <c r="K93" s="19"/>
      <c r="L93" s="19"/>
      <c r="M93" s="19"/>
      <c r="N93" s="19"/>
      <c r="O93" s="19"/>
      <c r="P93" s="19"/>
      <c r="Q93" s="19"/>
      <c r="R93" s="19"/>
      <c r="S93" s="19"/>
      <c r="T93" s="19"/>
      <c r="U93" s="19"/>
      <c r="V93" s="19"/>
      <c r="W93" s="19"/>
      <c r="X93" s="19"/>
      <c r="Y93" s="19"/>
      <c r="Z93" s="19"/>
    </row>
    <row r="94" spans="1:26" ht="28.5" customHeight="1" x14ac:dyDescent="0.3">
      <c r="A94" s="45" t="s">
        <v>486</v>
      </c>
      <c r="B94" s="50" t="s">
        <v>576</v>
      </c>
      <c r="C94" s="45" t="s">
        <v>577</v>
      </c>
      <c r="D94" s="45" t="s">
        <v>6</v>
      </c>
      <c r="E94" s="45">
        <v>1.5</v>
      </c>
      <c r="F94" s="21" t="s">
        <v>403</v>
      </c>
      <c r="G94" s="19"/>
      <c r="H94" s="19"/>
      <c r="I94" s="19"/>
      <c r="J94" s="19"/>
      <c r="K94" s="19"/>
      <c r="L94" s="19"/>
      <c r="M94" s="19"/>
      <c r="N94" s="19"/>
      <c r="O94" s="19"/>
      <c r="P94" s="19"/>
      <c r="Q94" s="19"/>
      <c r="R94" s="19"/>
      <c r="S94" s="19"/>
      <c r="T94" s="19"/>
      <c r="U94" s="19"/>
      <c r="V94" s="19"/>
      <c r="W94" s="19"/>
      <c r="X94" s="19"/>
      <c r="Y94" s="19"/>
      <c r="Z94" s="19"/>
    </row>
    <row r="95" spans="1:26" ht="28.5" customHeight="1" x14ac:dyDescent="0.3">
      <c r="A95" s="45" t="s">
        <v>486</v>
      </c>
      <c r="B95" s="50" t="s">
        <v>578</v>
      </c>
      <c r="C95" s="45" t="s">
        <v>579</v>
      </c>
      <c r="D95" s="45" t="s">
        <v>6</v>
      </c>
      <c r="E95" s="45">
        <v>1.5</v>
      </c>
      <c r="F95" s="21" t="s">
        <v>403</v>
      </c>
      <c r="G95" s="19"/>
      <c r="H95" s="19"/>
      <c r="I95" s="19"/>
      <c r="J95" s="19"/>
      <c r="K95" s="19"/>
      <c r="L95" s="19"/>
      <c r="M95" s="19"/>
      <c r="N95" s="19"/>
      <c r="O95" s="19"/>
      <c r="P95" s="19"/>
      <c r="Q95" s="19"/>
      <c r="R95" s="19"/>
      <c r="S95" s="19"/>
      <c r="T95" s="19"/>
      <c r="U95" s="19"/>
      <c r="V95" s="19"/>
      <c r="W95" s="19"/>
      <c r="X95" s="19"/>
      <c r="Y95" s="19"/>
      <c r="Z95" s="19"/>
    </row>
    <row r="96" spans="1:26" ht="28.5" customHeight="1" x14ac:dyDescent="0.3">
      <c r="A96" s="45" t="s">
        <v>486</v>
      </c>
      <c r="B96" s="50" t="s">
        <v>580</v>
      </c>
      <c r="C96" s="45" t="s">
        <v>581</v>
      </c>
      <c r="D96" s="45" t="s">
        <v>6</v>
      </c>
      <c r="E96" s="45">
        <v>1.5</v>
      </c>
      <c r="F96" s="21" t="s">
        <v>403</v>
      </c>
      <c r="G96" s="19"/>
      <c r="H96" s="19"/>
      <c r="I96" s="19"/>
      <c r="J96" s="19"/>
      <c r="K96" s="19"/>
      <c r="L96" s="19"/>
      <c r="M96" s="19"/>
      <c r="N96" s="19"/>
      <c r="O96" s="19"/>
      <c r="P96" s="19"/>
      <c r="Q96" s="19"/>
      <c r="R96" s="19"/>
      <c r="S96" s="19"/>
      <c r="T96" s="19"/>
      <c r="U96" s="19"/>
      <c r="V96" s="19"/>
      <c r="W96" s="19"/>
      <c r="X96" s="19"/>
      <c r="Y96" s="19"/>
      <c r="Z96" s="19"/>
    </row>
    <row r="97" spans="1:26" ht="28.5" customHeight="1" x14ac:dyDescent="0.3">
      <c r="A97" s="45" t="s">
        <v>489</v>
      </c>
      <c r="B97" s="50" t="s">
        <v>582</v>
      </c>
      <c r="C97" s="45" t="s">
        <v>583</v>
      </c>
      <c r="D97" s="45" t="s">
        <v>12</v>
      </c>
      <c r="E97" s="45">
        <v>1.5</v>
      </c>
      <c r="F97" s="21" t="s">
        <v>403</v>
      </c>
      <c r="G97" s="19"/>
      <c r="H97" s="19"/>
      <c r="I97" s="19"/>
      <c r="J97" s="19"/>
      <c r="K97" s="19"/>
      <c r="L97" s="19"/>
      <c r="M97" s="19"/>
      <c r="N97" s="19"/>
      <c r="O97" s="19"/>
      <c r="P97" s="19"/>
      <c r="Q97" s="19"/>
      <c r="R97" s="19"/>
      <c r="S97" s="19"/>
      <c r="T97" s="19"/>
      <c r="U97" s="19"/>
      <c r="V97" s="19"/>
      <c r="W97" s="19"/>
      <c r="X97" s="19"/>
      <c r="Y97" s="19"/>
      <c r="Z97" s="19"/>
    </row>
    <row r="98" spans="1:26" ht="42" customHeight="1" x14ac:dyDescent="0.3">
      <c r="A98" s="45" t="s">
        <v>489</v>
      </c>
      <c r="B98" s="50" t="s">
        <v>584</v>
      </c>
      <c r="C98" s="45" t="s">
        <v>585</v>
      </c>
      <c r="D98" s="45" t="s">
        <v>12</v>
      </c>
      <c r="E98" s="45">
        <v>1.5</v>
      </c>
      <c r="F98" s="21" t="s">
        <v>403</v>
      </c>
      <c r="G98" s="19"/>
      <c r="H98" s="19"/>
      <c r="I98" s="19"/>
      <c r="J98" s="19"/>
      <c r="K98" s="19"/>
      <c r="L98" s="19"/>
      <c r="M98" s="19"/>
      <c r="N98" s="19"/>
      <c r="O98" s="19"/>
      <c r="P98" s="19"/>
      <c r="Q98" s="19"/>
      <c r="R98" s="19"/>
      <c r="S98" s="19"/>
      <c r="T98" s="19"/>
      <c r="U98" s="19"/>
      <c r="V98" s="19"/>
      <c r="W98" s="19"/>
      <c r="X98" s="19"/>
      <c r="Y98" s="19"/>
      <c r="Z98" s="19"/>
    </row>
    <row r="99" spans="1:26" ht="28.5" customHeight="1" x14ac:dyDescent="0.3">
      <c r="A99" s="45" t="s">
        <v>492</v>
      </c>
      <c r="B99" s="50" t="s">
        <v>586</v>
      </c>
      <c r="C99" s="45" t="s">
        <v>587</v>
      </c>
      <c r="D99" s="45" t="s">
        <v>9</v>
      </c>
      <c r="E99" s="45">
        <v>1.5</v>
      </c>
      <c r="F99" s="21" t="s">
        <v>403</v>
      </c>
      <c r="G99" s="19"/>
      <c r="H99" s="19"/>
      <c r="I99" s="19"/>
      <c r="J99" s="19"/>
      <c r="K99" s="19"/>
      <c r="L99" s="19"/>
      <c r="M99" s="19"/>
      <c r="N99" s="19"/>
      <c r="O99" s="19"/>
      <c r="P99" s="19"/>
      <c r="Q99" s="19"/>
      <c r="R99" s="19"/>
      <c r="S99" s="19"/>
      <c r="T99" s="19"/>
      <c r="U99" s="19"/>
      <c r="V99" s="19"/>
      <c r="W99" s="19"/>
      <c r="X99" s="19"/>
      <c r="Y99" s="19"/>
      <c r="Z99" s="19"/>
    </row>
    <row r="100" spans="1:26" ht="28.5" customHeight="1" x14ac:dyDescent="0.3">
      <c r="A100" s="45" t="s">
        <v>492</v>
      </c>
      <c r="B100" s="50" t="s">
        <v>588</v>
      </c>
      <c r="C100" s="45" t="s">
        <v>589</v>
      </c>
      <c r="D100" s="45" t="s">
        <v>9</v>
      </c>
      <c r="E100" s="45">
        <v>1.5</v>
      </c>
      <c r="F100" s="21" t="s">
        <v>403</v>
      </c>
      <c r="G100" s="19"/>
      <c r="H100" s="19"/>
      <c r="I100" s="19"/>
      <c r="J100" s="19"/>
      <c r="K100" s="19"/>
      <c r="L100" s="19"/>
      <c r="M100" s="19"/>
      <c r="N100" s="19"/>
      <c r="O100" s="19"/>
      <c r="P100" s="19"/>
      <c r="Q100" s="19"/>
      <c r="R100" s="19"/>
      <c r="S100" s="19"/>
      <c r="T100" s="19"/>
      <c r="U100" s="19"/>
      <c r="V100" s="19"/>
      <c r="W100" s="19"/>
      <c r="X100" s="19"/>
      <c r="Y100" s="19"/>
      <c r="Z100" s="19"/>
    </row>
    <row r="101" spans="1:26" ht="28.5" customHeight="1" x14ac:dyDescent="0.3">
      <c r="A101" s="45" t="s">
        <v>495</v>
      </c>
      <c r="B101" s="50" t="s">
        <v>590</v>
      </c>
      <c r="C101" s="45" t="s">
        <v>591</v>
      </c>
      <c r="D101" s="45" t="s">
        <v>15</v>
      </c>
      <c r="E101" s="45">
        <v>1.5</v>
      </c>
      <c r="F101" s="21" t="s">
        <v>403</v>
      </c>
      <c r="G101" s="19"/>
      <c r="H101" s="19"/>
      <c r="I101" s="19"/>
      <c r="J101" s="19"/>
      <c r="K101" s="19"/>
      <c r="L101" s="19"/>
      <c r="M101" s="19"/>
      <c r="N101" s="19"/>
      <c r="O101" s="19"/>
      <c r="P101" s="19"/>
      <c r="Q101" s="19"/>
      <c r="R101" s="19"/>
      <c r="S101" s="19"/>
      <c r="T101" s="19"/>
      <c r="U101" s="19"/>
      <c r="V101" s="19"/>
      <c r="W101" s="19"/>
      <c r="X101" s="19"/>
      <c r="Y101" s="19"/>
      <c r="Z101" s="19"/>
    </row>
    <row r="102" spans="1:26" ht="28.5" customHeight="1" x14ac:dyDescent="0.3">
      <c r="A102" s="45" t="s">
        <v>495</v>
      </c>
      <c r="B102" s="50" t="s">
        <v>592</v>
      </c>
      <c r="C102" s="45" t="s">
        <v>593</v>
      </c>
      <c r="D102" s="45" t="s">
        <v>15</v>
      </c>
      <c r="E102" s="45">
        <v>1.5</v>
      </c>
      <c r="F102" s="21" t="s">
        <v>403</v>
      </c>
      <c r="G102" s="19"/>
      <c r="H102" s="19"/>
      <c r="I102" s="19"/>
      <c r="J102" s="19"/>
      <c r="K102" s="19"/>
      <c r="L102" s="19"/>
      <c r="M102" s="19"/>
      <c r="N102" s="19"/>
      <c r="O102" s="19"/>
      <c r="P102" s="19"/>
      <c r="Q102" s="19"/>
      <c r="R102" s="19"/>
      <c r="S102" s="19"/>
      <c r="T102" s="19"/>
      <c r="U102" s="19"/>
      <c r="V102" s="19"/>
      <c r="W102" s="19"/>
      <c r="X102" s="19"/>
      <c r="Y102" s="19"/>
      <c r="Z102" s="19"/>
    </row>
    <row r="103" spans="1:26" ht="28.5" customHeight="1" x14ac:dyDescent="0.3">
      <c r="A103" s="45" t="s">
        <v>495</v>
      </c>
      <c r="B103" s="50" t="s">
        <v>594</v>
      </c>
      <c r="C103" s="45" t="s">
        <v>595</v>
      </c>
      <c r="D103" s="45" t="s">
        <v>15</v>
      </c>
      <c r="E103" s="45">
        <v>1.5</v>
      </c>
      <c r="F103" s="21" t="s">
        <v>403</v>
      </c>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42" t="s">
        <v>248</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43" t="s">
        <v>190</v>
      </c>
      <c r="B106" s="44" t="s">
        <v>29</v>
      </c>
      <c r="C106" s="44" t="s">
        <v>191</v>
      </c>
      <c r="D106" s="44" t="s">
        <v>27</v>
      </c>
      <c r="E106" s="44"/>
      <c r="F106" s="44"/>
      <c r="G106" s="19"/>
      <c r="H106" s="19"/>
      <c r="I106" s="19"/>
      <c r="J106" s="19"/>
      <c r="K106" s="19"/>
      <c r="L106" s="19"/>
      <c r="M106" s="19"/>
      <c r="N106" s="19"/>
      <c r="O106" s="19"/>
      <c r="P106" s="19"/>
      <c r="Q106" s="19"/>
      <c r="R106" s="19"/>
      <c r="S106" s="19"/>
      <c r="T106" s="19"/>
      <c r="U106" s="19"/>
      <c r="V106" s="19"/>
      <c r="W106" s="19"/>
      <c r="X106" s="19"/>
      <c r="Y106" s="19"/>
      <c r="Z106" s="19"/>
    </row>
    <row r="107" spans="1:26" ht="55.5" customHeight="1" x14ac:dyDescent="0.3">
      <c r="A107" s="45" t="s">
        <v>596</v>
      </c>
      <c r="B107" s="45" t="s">
        <v>12</v>
      </c>
      <c r="C107" s="45">
        <v>2</v>
      </c>
      <c r="D107" s="47" t="s">
        <v>34</v>
      </c>
      <c r="E107" s="45"/>
      <c r="F107" s="45"/>
      <c r="G107" s="19"/>
      <c r="H107" s="19"/>
      <c r="I107" s="19"/>
      <c r="J107" s="19"/>
      <c r="K107" s="19"/>
      <c r="L107" s="19"/>
      <c r="M107" s="19"/>
      <c r="N107" s="19"/>
      <c r="O107" s="19"/>
      <c r="P107" s="19"/>
      <c r="Q107" s="19"/>
      <c r="R107" s="19"/>
      <c r="S107" s="19"/>
      <c r="T107" s="19"/>
      <c r="U107" s="19"/>
      <c r="V107" s="19"/>
      <c r="W107" s="19"/>
      <c r="X107" s="19"/>
      <c r="Y107" s="19"/>
      <c r="Z107" s="19"/>
    </row>
    <row r="108" spans="1:26" ht="55.5" customHeight="1" x14ac:dyDescent="0.3">
      <c r="A108" s="45" t="s">
        <v>250</v>
      </c>
      <c r="B108" s="45" t="s">
        <v>12</v>
      </c>
      <c r="C108" s="45">
        <v>3</v>
      </c>
      <c r="D108" s="47" t="s">
        <v>34</v>
      </c>
      <c r="E108" s="45"/>
      <c r="F108" s="45"/>
      <c r="G108" s="19"/>
      <c r="H108" s="19"/>
      <c r="I108" s="19"/>
      <c r="J108" s="19"/>
      <c r="K108" s="19"/>
      <c r="L108" s="19"/>
      <c r="M108" s="19"/>
      <c r="N108" s="19"/>
      <c r="O108" s="19"/>
      <c r="P108" s="19"/>
      <c r="Q108" s="19"/>
      <c r="R108" s="19"/>
      <c r="S108" s="19"/>
      <c r="T108" s="19"/>
      <c r="U108" s="19"/>
      <c r="V108" s="19"/>
      <c r="W108" s="19"/>
      <c r="X108" s="19"/>
      <c r="Y108" s="19"/>
      <c r="Z108" s="19"/>
    </row>
    <row r="109" spans="1:26" ht="55.5" customHeight="1" x14ac:dyDescent="0.3">
      <c r="A109" s="45" t="s">
        <v>466</v>
      </c>
      <c r="B109" s="45" t="s">
        <v>12</v>
      </c>
      <c r="C109" s="45">
        <v>1</v>
      </c>
      <c r="D109" s="47" t="s">
        <v>34</v>
      </c>
      <c r="E109" s="45"/>
      <c r="F109" s="45"/>
      <c r="G109" s="19"/>
      <c r="H109" s="19"/>
      <c r="I109" s="19"/>
      <c r="J109" s="19"/>
      <c r="K109" s="19"/>
      <c r="L109" s="19"/>
      <c r="M109" s="19"/>
      <c r="N109" s="19"/>
      <c r="O109" s="19"/>
      <c r="P109" s="19"/>
      <c r="Q109" s="19"/>
      <c r="R109" s="19"/>
      <c r="S109" s="19"/>
      <c r="T109" s="19"/>
      <c r="U109" s="19"/>
      <c r="V109" s="19"/>
      <c r="W109" s="19"/>
      <c r="X109" s="19"/>
      <c r="Y109" s="19"/>
      <c r="Z109" s="19"/>
    </row>
    <row r="110" spans="1:26" ht="55.5" customHeight="1" x14ac:dyDescent="0.3">
      <c r="A110" s="45" t="s">
        <v>597</v>
      </c>
      <c r="B110" s="45" t="s">
        <v>12</v>
      </c>
      <c r="C110" s="45">
        <v>2</v>
      </c>
      <c r="D110" s="47" t="s">
        <v>34</v>
      </c>
      <c r="E110" s="45"/>
      <c r="F110" s="45"/>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53"/>
      <c r="B112" s="53" t="s">
        <v>252</v>
      </c>
      <c r="C112" s="53"/>
      <c r="D112" s="53"/>
      <c r="E112" s="53">
        <f>SUM(E26:E68)</f>
        <v>104</v>
      </c>
      <c r="F112" s="53"/>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53"/>
      <c r="B113" s="53" t="s">
        <v>253</v>
      </c>
      <c r="C113" s="53"/>
      <c r="D113" s="53"/>
      <c r="E113" s="53">
        <f>SUM(E84:E103)</f>
        <v>30</v>
      </c>
      <c r="F113" s="53"/>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53" t="s">
        <v>254</v>
      </c>
      <c r="B114" s="53"/>
      <c r="C114" s="53">
        <f>SUM(C107:C110)</f>
        <v>8</v>
      </c>
      <c r="D114" s="53"/>
      <c r="E114" s="53"/>
      <c r="F114" s="53"/>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3">
    <mergeCell ref="B13:C13"/>
    <mergeCell ref="B14:C14"/>
    <mergeCell ref="B15:C15"/>
    <mergeCell ref="B8:C8"/>
    <mergeCell ref="B9:C9"/>
    <mergeCell ref="B10:C10"/>
    <mergeCell ref="B11:C11"/>
    <mergeCell ref="B12:C12"/>
    <mergeCell ref="A1:F1"/>
    <mergeCell ref="A2:F2"/>
    <mergeCell ref="A3:F3"/>
    <mergeCell ref="B6:C6"/>
    <mergeCell ref="B7:C7"/>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zoomScaleNormal="100" workbookViewId="0">
      <pane ySplit="4" topLeftCell="A71" activePane="bottomLeft" state="frozen"/>
      <selection pane="bottomLeft" activeCell="F41" sqref="F41:F42"/>
    </sheetView>
  </sheetViews>
  <sheetFormatPr defaultColWidth="14.44140625" defaultRowHeight="14.4" x14ac:dyDescent="0.3"/>
  <cols>
    <col min="1" max="1" width="11" customWidth="1"/>
    <col min="2" max="2" width="14" customWidth="1"/>
    <col min="3" max="3" width="52" customWidth="1"/>
    <col min="4" max="4" width="26" customWidth="1"/>
    <col min="5" max="5" width="13" customWidth="1"/>
    <col min="6" max="6" width="46" customWidth="1"/>
    <col min="7" max="26" width="8.6640625" customWidth="1"/>
  </cols>
  <sheetData>
    <row r="1" spans="1:7" ht="17.399999999999999" x14ac:dyDescent="0.3">
      <c r="A1" s="6" t="s">
        <v>598</v>
      </c>
      <c r="B1" s="6"/>
      <c r="C1" s="6"/>
      <c r="D1" s="6"/>
      <c r="E1" s="6"/>
      <c r="F1" s="6"/>
      <c r="G1" s="19"/>
    </row>
    <row r="2" spans="1:7" x14ac:dyDescent="0.3">
      <c r="A2" s="5" t="s">
        <v>599</v>
      </c>
      <c r="B2" s="5"/>
      <c r="C2" s="5"/>
      <c r="D2" s="5"/>
      <c r="E2" s="5"/>
      <c r="F2" s="5"/>
      <c r="G2" s="19"/>
    </row>
    <row r="3" spans="1:7" ht="39.75" customHeight="1" x14ac:dyDescent="0.3">
      <c r="A3" s="9" t="s">
        <v>600</v>
      </c>
      <c r="B3" s="9"/>
      <c r="C3" s="9"/>
      <c r="D3" s="9"/>
      <c r="E3" s="9"/>
      <c r="F3" s="9"/>
      <c r="G3" s="19"/>
    </row>
    <row r="4" spans="1:7" x14ac:dyDescent="0.3">
      <c r="A4" s="19"/>
      <c r="B4" s="19"/>
      <c r="C4" s="19"/>
      <c r="D4" s="19"/>
      <c r="E4" s="19"/>
      <c r="F4" s="19"/>
      <c r="G4" s="19"/>
    </row>
    <row r="5" spans="1:7" x14ac:dyDescent="0.3">
      <c r="A5" s="42" t="s">
        <v>173</v>
      </c>
      <c r="B5" s="19"/>
      <c r="C5" s="19"/>
      <c r="D5" s="19"/>
      <c r="E5" s="19"/>
      <c r="F5" s="19"/>
      <c r="G5" s="19"/>
    </row>
    <row r="6" spans="1:7" ht="15" customHeight="1" x14ac:dyDescent="0.3">
      <c r="A6" s="43" t="s">
        <v>174</v>
      </c>
      <c r="B6" s="4" t="s">
        <v>24</v>
      </c>
      <c r="C6" s="4"/>
      <c r="D6" s="44" t="s">
        <v>29</v>
      </c>
      <c r="E6" s="44" t="s">
        <v>26</v>
      </c>
      <c r="F6" s="44" t="s">
        <v>175</v>
      </c>
      <c r="G6" s="19"/>
    </row>
    <row r="7" spans="1:7" ht="220.5" customHeight="1" x14ac:dyDescent="0.3">
      <c r="A7" s="45" t="s">
        <v>601</v>
      </c>
      <c r="B7" s="3" t="s">
        <v>602</v>
      </c>
      <c r="C7" s="3"/>
      <c r="D7" s="45" t="s">
        <v>6</v>
      </c>
      <c r="E7" s="45">
        <v>5</v>
      </c>
      <c r="F7" s="45" t="s">
        <v>603</v>
      </c>
      <c r="G7" s="19"/>
    </row>
    <row r="8" spans="1:7" ht="194.25" customHeight="1" x14ac:dyDescent="0.3">
      <c r="A8" s="45" t="s">
        <v>604</v>
      </c>
      <c r="B8" s="3" t="s">
        <v>605</v>
      </c>
      <c r="C8" s="3"/>
      <c r="D8" s="45" t="s">
        <v>6</v>
      </c>
      <c r="E8" s="45">
        <v>3</v>
      </c>
      <c r="F8" s="45" t="s">
        <v>606</v>
      </c>
      <c r="G8" s="19"/>
    </row>
    <row r="9" spans="1:7" ht="168" customHeight="1" x14ac:dyDescent="0.3">
      <c r="A9" s="45" t="s">
        <v>607</v>
      </c>
      <c r="B9" s="3" t="s">
        <v>608</v>
      </c>
      <c r="C9" s="3"/>
      <c r="D9" s="45" t="s">
        <v>6</v>
      </c>
      <c r="E9" s="45">
        <v>5</v>
      </c>
      <c r="F9" s="45" t="s">
        <v>609</v>
      </c>
      <c r="G9" s="19"/>
    </row>
    <row r="10" spans="1:7" ht="154.5" customHeight="1" x14ac:dyDescent="0.3">
      <c r="A10" s="45" t="s">
        <v>610</v>
      </c>
      <c r="B10" s="3" t="s">
        <v>611</v>
      </c>
      <c r="C10" s="3"/>
      <c r="D10" s="45" t="s">
        <v>6</v>
      </c>
      <c r="E10" s="45">
        <v>3</v>
      </c>
      <c r="F10" s="45" t="s">
        <v>612</v>
      </c>
      <c r="G10" s="19"/>
    </row>
    <row r="11" spans="1:7" ht="141.75" customHeight="1" x14ac:dyDescent="0.3">
      <c r="A11" s="45" t="s">
        <v>613</v>
      </c>
      <c r="B11" s="3" t="s">
        <v>614</v>
      </c>
      <c r="C11" s="3"/>
      <c r="D11" s="45" t="s">
        <v>6</v>
      </c>
      <c r="E11" s="45">
        <v>5</v>
      </c>
      <c r="F11" s="45" t="s">
        <v>615</v>
      </c>
      <c r="G11" s="19"/>
    </row>
    <row r="12" spans="1:7" ht="168" customHeight="1" x14ac:dyDescent="0.3">
      <c r="A12" s="45" t="s">
        <v>616</v>
      </c>
      <c r="B12" s="3" t="s">
        <v>617</v>
      </c>
      <c r="C12" s="3"/>
      <c r="D12" s="45" t="s">
        <v>12</v>
      </c>
      <c r="E12" s="45">
        <v>5</v>
      </c>
      <c r="F12" s="45" t="s">
        <v>618</v>
      </c>
      <c r="G12" s="19"/>
    </row>
    <row r="13" spans="1:7" ht="181.5" customHeight="1" x14ac:dyDescent="0.3">
      <c r="A13" s="45" t="s">
        <v>619</v>
      </c>
      <c r="B13" s="3" t="s">
        <v>620</v>
      </c>
      <c r="C13" s="3"/>
      <c r="D13" s="45" t="s">
        <v>18</v>
      </c>
      <c r="E13" s="45">
        <v>8</v>
      </c>
      <c r="F13" s="45" t="s">
        <v>621</v>
      </c>
      <c r="G13" s="19"/>
    </row>
    <row r="14" spans="1:7" ht="154.5" customHeight="1" x14ac:dyDescent="0.3">
      <c r="A14" s="45" t="s">
        <v>622</v>
      </c>
      <c r="B14" s="3" t="s">
        <v>623</v>
      </c>
      <c r="C14" s="3"/>
      <c r="D14" s="45" t="s">
        <v>15</v>
      </c>
      <c r="E14" s="45">
        <v>3</v>
      </c>
      <c r="F14" s="45" t="s">
        <v>624</v>
      </c>
      <c r="G14" s="19"/>
    </row>
    <row r="15" spans="1:7" ht="115.5" customHeight="1" x14ac:dyDescent="0.3">
      <c r="A15" s="45" t="s">
        <v>625</v>
      </c>
      <c r="B15" s="3" t="s">
        <v>626</v>
      </c>
      <c r="C15" s="3"/>
      <c r="D15" s="45" t="s">
        <v>9</v>
      </c>
      <c r="E15" s="45">
        <v>3</v>
      </c>
      <c r="F15" s="45" t="s">
        <v>627</v>
      </c>
      <c r="G15" s="19"/>
    </row>
    <row r="16" spans="1:7" x14ac:dyDescent="0.3">
      <c r="A16" s="19"/>
      <c r="B16" s="19"/>
      <c r="C16" s="19"/>
      <c r="D16" s="19"/>
      <c r="E16" s="19"/>
      <c r="F16" s="19"/>
      <c r="G16" s="19"/>
    </row>
    <row r="17" spans="1:7" x14ac:dyDescent="0.3">
      <c r="A17" s="42" t="s">
        <v>628</v>
      </c>
      <c r="B17" s="19"/>
      <c r="C17" s="19"/>
      <c r="D17" s="19"/>
      <c r="E17" s="19"/>
      <c r="F17" s="19"/>
      <c r="G17" s="19"/>
    </row>
    <row r="18" spans="1:7" ht="26.4" x14ac:dyDescent="0.3">
      <c r="A18" s="43" t="s">
        <v>174</v>
      </c>
      <c r="B18" s="44" t="s">
        <v>189</v>
      </c>
      <c r="C18" s="44" t="s">
        <v>190</v>
      </c>
      <c r="D18" s="44" t="s">
        <v>29</v>
      </c>
      <c r="E18" s="44" t="s">
        <v>191</v>
      </c>
      <c r="F18" s="44" t="s">
        <v>27</v>
      </c>
      <c r="G18" s="19"/>
    </row>
    <row r="19" spans="1:7" ht="30" customHeight="1" x14ac:dyDescent="0.3">
      <c r="A19" s="45" t="s">
        <v>629</v>
      </c>
      <c r="B19" s="45" t="s">
        <v>629</v>
      </c>
      <c r="C19" s="45" t="s">
        <v>630</v>
      </c>
      <c r="D19" s="45" t="s">
        <v>629</v>
      </c>
      <c r="E19" s="45">
        <v>0</v>
      </c>
      <c r="F19" s="47" t="s">
        <v>34</v>
      </c>
      <c r="G19" s="19"/>
    </row>
    <row r="20" spans="1:7" x14ac:dyDescent="0.3">
      <c r="A20" s="19"/>
      <c r="B20" s="19"/>
      <c r="C20" s="19"/>
      <c r="D20" s="19"/>
      <c r="E20" s="19"/>
      <c r="F20" s="19"/>
      <c r="G20" s="19"/>
    </row>
    <row r="21" spans="1:7" ht="15.75" customHeight="1" x14ac:dyDescent="0.3">
      <c r="A21" s="42" t="s">
        <v>631</v>
      </c>
      <c r="B21" s="19"/>
      <c r="C21" s="19"/>
      <c r="D21" s="19"/>
      <c r="E21" s="19"/>
      <c r="F21" s="19"/>
      <c r="G21" s="19"/>
    </row>
    <row r="22" spans="1:7" ht="15.75" customHeight="1" x14ac:dyDescent="0.3">
      <c r="A22" s="43" t="s">
        <v>174</v>
      </c>
      <c r="B22" s="44" t="s">
        <v>189</v>
      </c>
      <c r="C22" s="44" t="s">
        <v>190</v>
      </c>
      <c r="D22" s="44" t="s">
        <v>29</v>
      </c>
      <c r="E22" s="44" t="s">
        <v>191</v>
      </c>
      <c r="F22" s="44" t="s">
        <v>27</v>
      </c>
      <c r="G22" s="19"/>
    </row>
    <row r="23" spans="1:7" ht="45" customHeight="1" x14ac:dyDescent="0.3">
      <c r="A23" s="45" t="s">
        <v>601</v>
      </c>
      <c r="B23" s="52" t="s">
        <v>192</v>
      </c>
      <c r="C23" s="45" t="s">
        <v>632</v>
      </c>
      <c r="D23" s="45" t="s">
        <v>6</v>
      </c>
      <c r="E23" s="45">
        <v>1</v>
      </c>
      <c r="F23" s="47" t="s">
        <v>34</v>
      </c>
      <c r="G23" s="19"/>
    </row>
    <row r="24" spans="1:7" ht="58.5" customHeight="1" x14ac:dyDescent="0.3">
      <c r="A24" s="45" t="s">
        <v>601</v>
      </c>
      <c r="B24" s="48" t="s">
        <v>196</v>
      </c>
      <c r="C24" s="45" t="s">
        <v>633</v>
      </c>
      <c r="D24" s="45" t="s">
        <v>6</v>
      </c>
      <c r="E24" s="45">
        <v>5</v>
      </c>
      <c r="F24" s="47" t="s">
        <v>34</v>
      </c>
      <c r="G24" s="19"/>
    </row>
    <row r="25" spans="1:7" ht="45" customHeight="1" x14ac:dyDescent="0.3">
      <c r="A25" s="45" t="s">
        <v>601</v>
      </c>
      <c r="B25" s="48" t="s">
        <v>196</v>
      </c>
      <c r="C25" s="45" t="s">
        <v>634</v>
      </c>
      <c r="D25" s="45" t="s">
        <v>6</v>
      </c>
      <c r="E25" s="45">
        <v>2</v>
      </c>
      <c r="F25" s="47" t="s">
        <v>34</v>
      </c>
      <c r="G25" s="19"/>
    </row>
    <row r="26" spans="1:7" ht="45" customHeight="1" x14ac:dyDescent="0.3">
      <c r="A26" s="45" t="s">
        <v>601</v>
      </c>
      <c r="B26" s="51" t="s">
        <v>198</v>
      </c>
      <c r="C26" s="45" t="s">
        <v>635</v>
      </c>
      <c r="D26" s="45" t="s">
        <v>6</v>
      </c>
      <c r="E26" s="45">
        <v>3</v>
      </c>
      <c r="F26" s="47" t="s">
        <v>34</v>
      </c>
      <c r="G26" s="19"/>
    </row>
    <row r="27" spans="1:7" ht="45" customHeight="1" x14ac:dyDescent="0.3">
      <c r="A27" s="45" t="s">
        <v>601</v>
      </c>
      <c r="B27" s="49" t="s">
        <v>200</v>
      </c>
      <c r="C27" s="45" t="s">
        <v>636</v>
      </c>
      <c r="D27" s="45" t="s">
        <v>6</v>
      </c>
      <c r="E27" s="45">
        <v>2</v>
      </c>
      <c r="F27" s="47" t="s">
        <v>34</v>
      </c>
      <c r="G27" s="19"/>
    </row>
    <row r="28" spans="1:7" ht="32.25" customHeight="1" x14ac:dyDescent="0.3">
      <c r="A28" s="45" t="s">
        <v>604</v>
      </c>
      <c r="B28" s="52" t="s">
        <v>192</v>
      </c>
      <c r="C28" s="45" t="s">
        <v>637</v>
      </c>
      <c r="D28" s="45" t="s">
        <v>6</v>
      </c>
      <c r="E28" s="45">
        <v>1</v>
      </c>
      <c r="F28" s="47" t="s">
        <v>34</v>
      </c>
      <c r="G28" s="19"/>
    </row>
    <row r="29" spans="1:7" ht="45" customHeight="1" x14ac:dyDescent="0.3">
      <c r="A29" s="45" t="s">
        <v>604</v>
      </c>
      <c r="B29" s="48" t="s">
        <v>196</v>
      </c>
      <c r="C29" s="45" t="s">
        <v>638</v>
      </c>
      <c r="D29" s="45" t="s">
        <v>6</v>
      </c>
      <c r="E29" s="45">
        <v>5</v>
      </c>
      <c r="F29" s="47" t="s">
        <v>34</v>
      </c>
      <c r="G29" s="19"/>
    </row>
    <row r="30" spans="1:7" ht="45" customHeight="1" x14ac:dyDescent="0.3">
      <c r="A30" s="45" t="s">
        <v>604</v>
      </c>
      <c r="B30" s="49" t="s">
        <v>200</v>
      </c>
      <c r="C30" s="45" t="s">
        <v>639</v>
      </c>
      <c r="D30" s="45" t="s">
        <v>6</v>
      </c>
      <c r="E30" s="45">
        <v>2</v>
      </c>
      <c r="F30" s="47" t="s">
        <v>34</v>
      </c>
      <c r="G30" s="19"/>
    </row>
    <row r="31" spans="1:7" ht="32.25" customHeight="1" x14ac:dyDescent="0.3">
      <c r="A31" s="45" t="s">
        <v>607</v>
      </c>
      <c r="B31" s="52" t="s">
        <v>192</v>
      </c>
      <c r="C31" s="45" t="s">
        <v>640</v>
      </c>
      <c r="D31" s="45" t="s">
        <v>6</v>
      </c>
      <c r="E31" s="45">
        <v>1</v>
      </c>
      <c r="F31" s="47" t="s">
        <v>34</v>
      </c>
      <c r="G31" s="19"/>
    </row>
    <row r="32" spans="1:7" ht="45" customHeight="1" x14ac:dyDescent="0.3">
      <c r="A32" s="45" t="s">
        <v>607</v>
      </c>
      <c r="B32" s="48" t="s">
        <v>196</v>
      </c>
      <c r="C32" s="45" t="s">
        <v>641</v>
      </c>
      <c r="D32" s="45" t="s">
        <v>6</v>
      </c>
      <c r="E32" s="45">
        <v>6</v>
      </c>
      <c r="F32" s="47" t="s">
        <v>34</v>
      </c>
      <c r="G32" s="19"/>
    </row>
    <row r="33" spans="1:7" ht="45" customHeight="1" x14ac:dyDescent="0.3">
      <c r="A33" s="45" t="s">
        <v>607</v>
      </c>
      <c r="B33" s="48" t="s">
        <v>196</v>
      </c>
      <c r="C33" s="45" t="s">
        <v>642</v>
      </c>
      <c r="D33" s="45" t="s">
        <v>6</v>
      </c>
      <c r="E33" s="45">
        <v>3</v>
      </c>
      <c r="F33" s="47" t="s">
        <v>34</v>
      </c>
      <c r="G33" s="19"/>
    </row>
    <row r="34" spans="1:7" ht="32.25" customHeight="1" x14ac:dyDescent="0.3">
      <c r="A34" s="45" t="s">
        <v>607</v>
      </c>
      <c r="B34" s="49" t="s">
        <v>200</v>
      </c>
      <c r="C34" s="45" t="s">
        <v>643</v>
      </c>
      <c r="D34" s="45" t="s">
        <v>6</v>
      </c>
      <c r="E34" s="45">
        <v>3</v>
      </c>
      <c r="F34" s="47" t="s">
        <v>34</v>
      </c>
      <c r="G34" s="19"/>
    </row>
    <row r="35" spans="1:7" ht="45" customHeight="1" x14ac:dyDescent="0.3">
      <c r="A35" s="45" t="s">
        <v>610</v>
      </c>
      <c r="B35" s="52" t="s">
        <v>192</v>
      </c>
      <c r="C35" s="45" t="s">
        <v>644</v>
      </c>
      <c r="D35" s="45" t="s">
        <v>6</v>
      </c>
      <c r="E35" s="45">
        <v>2</v>
      </c>
      <c r="F35" s="47" t="s">
        <v>34</v>
      </c>
      <c r="G35" s="19"/>
    </row>
    <row r="36" spans="1:7" ht="32.25" customHeight="1" x14ac:dyDescent="0.3">
      <c r="A36" s="45" t="s">
        <v>610</v>
      </c>
      <c r="B36" s="52" t="s">
        <v>192</v>
      </c>
      <c r="C36" s="45" t="s">
        <v>645</v>
      </c>
      <c r="D36" s="45" t="s">
        <v>6</v>
      </c>
      <c r="E36" s="45">
        <v>4</v>
      </c>
      <c r="F36" s="47" t="s">
        <v>34</v>
      </c>
      <c r="G36" s="19"/>
    </row>
    <row r="37" spans="1:7" ht="32.25" customHeight="1" x14ac:dyDescent="0.3">
      <c r="A37" s="45" t="s">
        <v>610</v>
      </c>
      <c r="B37" s="49" t="s">
        <v>200</v>
      </c>
      <c r="C37" s="45" t="s">
        <v>646</v>
      </c>
      <c r="D37" s="45" t="s">
        <v>6</v>
      </c>
      <c r="E37" s="45">
        <v>1</v>
      </c>
      <c r="F37" s="47" t="s">
        <v>34</v>
      </c>
      <c r="G37" s="19"/>
    </row>
    <row r="38" spans="1:7" ht="32.25" customHeight="1" x14ac:dyDescent="0.3">
      <c r="A38" s="45" t="s">
        <v>613</v>
      </c>
      <c r="B38" s="52" t="s">
        <v>192</v>
      </c>
      <c r="C38" s="45" t="s">
        <v>647</v>
      </c>
      <c r="D38" s="45" t="s">
        <v>6</v>
      </c>
      <c r="E38" s="45">
        <v>2</v>
      </c>
      <c r="F38" s="47" t="s">
        <v>34</v>
      </c>
      <c r="G38" s="19"/>
    </row>
    <row r="39" spans="1:7" ht="32.25" customHeight="1" x14ac:dyDescent="0.3">
      <c r="A39" s="45" t="s">
        <v>613</v>
      </c>
      <c r="B39" s="49" t="s">
        <v>200</v>
      </c>
      <c r="C39" s="45" t="s">
        <v>648</v>
      </c>
      <c r="D39" s="45" t="s">
        <v>6</v>
      </c>
      <c r="E39" s="45">
        <v>3</v>
      </c>
      <c r="F39" s="47" t="s">
        <v>34</v>
      </c>
      <c r="G39" s="19"/>
    </row>
    <row r="40" spans="1:7" ht="32.25" customHeight="1" x14ac:dyDescent="0.3">
      <c r="A40" s="45" t="s">
        <v>613</v>
      </c>
      <c r="B40" s="48" t="s">
        <v>196</v>
      </c>
      <c r="C40" s="45" t="s">
        <v>649</v>
      </c>
      <c r="D40" s="45" t="s">
        <v>6</v>
      </c>
      <c r="E40" s="45">
        <v>3</v>
      </c>
      <c r="F40" s="47" t="s">
        <v>34</v>
      </c>
      <c r="G40" s="19"/>
    </row>
    <row r="41" spans="1:7" ht="32.25" customHeight="1" x14ac:dyDescent="0.3">
      <c r="A41" s="45" t="s">
        <v>613</v>
      </c>
      <c r="B41" s="51" t="s">
        <v>198</v>
      </c>
      <c r="C41" s="45" t="s">
        <v>650</v>
      </c>
      <c r="D41" s="45" t="s">
        <v>6</v>
      </c>
      <c r="E41" s="45">
        <v>3</v>
      </c>
      <c r="F41" s="47" t="s">
        <v>34</v>
      </c>
      <c r="G41" s="19"/>
    </row>
    <row r="42" spans="1:7" ht="45" customHeight="1" x14ac:dyDescent="0.3">
      <c r="A42" s="45" t="s">
        <v>613</v>
      </c>
      <c r="B42" s="49" t="s">
        <v>200</v>
      </c>
      <c r="C42" s="45" t="s">
        <v>651</v>
      </c>
      <c r="D42" s="45" t="s">
        <v>6</v>
      </c>
      <c r="E42" s="45">
        <v>3</v>
      </c>
      <c r="F42" s="47" t="s">
        <v>34</v>
      </c>
      <c r="G42" s="19"/>
    </row>
    <row r="43" spans="1:7" ht="45" customHeight="1" x14ac:dyDescent="0.3">
      <c r="A43" s="45" t="s">
        <v>616</v>
      </c>
      <c r="B43" s="52" t="s">
        <v>192</v>
      </c>
      <c r="C43" s="45" t="s">
        <v>652</v>
      </c>
      <c r="D43" s="45" t="s">
        <v>12</v>
      </c>
      <c r="E43" s="45">
        <v>2</v>
      </c>
      <c r="F43" s="47" t="s">
        <v>34</v>
      </c>
      <c r="G43" s="19"/>
    </row>
    <row r="44" spans="1:7" ht="32.25" customHeight="1" x14ac:dyDescent="0.3">
      <c r="A44" s="45" t="s">
        <v>616</v>
      </c>
      <c r="B44" s="46" t="s">
        <v>194</v>
      </c>
      <c r="C44" s="45" t="s">
        <v>653</v>
      </c>
      <c r="D44" s="45" t="s">
        <v>12</v>
      </c>
      <c r="E44" s="45">
        <v>1</v>
      </c>
      <c r="F44" s="47" t="s">
        <v>34</v>
      </c>
      <c r="G44" s="19"/>
    </row>
    <row r="45" spans="1:7" ht="45" customHeight="1" x14ac:dyDescent="0.3">
      <c r="A45" s="45" t="s">
        <v>616</v>
      </c>
      <c r="B45" s="48" t="s">
        <v>196</v>
      </c>
      <c r="C45" s="45" t="s">
        <v>654</v>
      </c>
      <c r="D45" s="45" t="s">
        <v>12</v>
      </c>
      <c r="E45" s="45">
        <v>3</v>
      </c>
      <c r="F45" s="47" t="s">
        <v>34</v>
      </c>
      <c r="G45" s="19"/>
    </row>
    <row r="46" spans="1:7" ht="32.25" customHeight="1" x14ac:dyDescent="0.3">
      <c r="A46" s="45" t="s">
        <v>616</v>
      </c>
      <c r="B46" s="51" t="s">
        <v>198</v>
      </c>
      <c r="C46" s="45" t="s">
        <v>655</v>
      </c>
      <c r="D46" s="45" t="s">
        <v>12</v>
      </c>
      <c r="E46" s="45">
        <v>4</v>
      </c>
      <c r="F46" s="47" t="s">
        <v>34</v>
      </c>
      <c r="G46" s="19"/>
    </row>
    <row r="47" spans="1:7" ht="32.25" customHeight="1" x14ac:dyDescent="0.3">
      <c r="A47" s="45" t="s">
        <v>616</v>
      </c>
      <c r="B47" s="49" t="s">
        <v>200</v>
      </c>
      <c r="C47" s="45" t="s">
        <v>656</v>
      </c>
      <c r="D47" s="45" t="s">
        <v>12</v>
      </c>
      <c r="E47" s="45">
        <v>1</v>
      </c>
      <c r="F47" s="47" t="s">
        <v>34</v>
      </c>
      <c r="G47" s="19"/>
    </row>
    <row r="48" spans="1:7" ht="32.25" customHeight="1" x14ac:dyDescent="0.3">
      <c r="A48" s="45" t="s">
        <v>619</v>
      </c>
      <c r="B48" s="52" t="s">
        <v>192</v>
      </c>
      <c r="C48" s="45" t="s">
        <v>657</v>
      </c>
      <c r="D48" s="45" t="s">
        <v>18</v>
      </c>
      <c r="E48" s="45">
        <v>1</v>
      </c>
      <c r="F48" s="47" t="s">
        <v>34</v>
      </c>
      <c r="G48" s="19"/>
    </row>
    <row r="49" spans="1:7" ht="32.25" customHeight="1" x14ac:dyDescent="0.3">
      <c r="A49" s="45" t="s">
        <v>619</v>
      </c>
      <c r="B49" s="46" t="s">
        <v>194</v>
      </c>
      <c r="C49" s="45" t="s">
        <v>658</v>
      </c>
      <c r="D49" s="45" t="s">
        <v>18</v>
      </c>
      <c r="E49" s="45">
        <v>2</v>
      </c>
      <c r="F49" s="47" t="s">
        <v>34</v>
      </c>
      <c r="G49" s="19"/>
    </row>
    <row r="50" spans="1:7" ht="72" customHeight="1" x14ac:dyDescent="0.3">
      <c r="A50" s="45" t="s">
        <v>619</v>
      </c>
      <c r="B50" s="48" t="s">
        <v>196</v>
      </c>
      <c r="C50" s="45" t="s">
        <v>659</v>
      </c>
      <c r="D50" s="45" t="s">
        <v>18</v>
      </c>
      <c r="E50" s="45">
        <v>5</v>
      </c>
      <c r="F50" s="47" t="s">
        <v>34</v>
      </c>
      <c r="G50" s="19"/>
    </row>
    <row r="51" spans="1:7" ht="45" customHeight="1" x14ac:dyDescent="0.3">
      <c r="A51" s="45" t="s">
        <v>619</v>
      </c>
      <c r="B51" s="51" t="s">
        <v>198</v>
      </c>
      <c r="C51" s="45" t="s">
        <v>660</v>
      </c>
      <c r="D51" s="45" t="s">
        <v>18</v>
      </c>
      <c r="E51" s="45">
        <v>5</v>
      </c>
      <c r="F51" s="47" t="s">
        <v>34</v>
      </c>
      <c r="G51" s="19"/>
    </row>
    <row r="52" spans="1:7" ht="45" customHeight="1" x14ac:dyDescent="0.3">
      <c r="A52" s="45" t="s">
        <v>619</v>
      </c>
      <c r="B52" s="49" t="s">
        <v>200</v>
      </c>
      <c r="C52" s="45" t="s">
        <v>661</v>
      </c>
      <c r="D52" s="45" t="s">
        <v>18</v>
      </c>
      <c r="E52" s="45">
        <v>2</v>
      </c>
      <c r="F52" s="47" t="s">
        <v>34</v>
      </c>
      <c r="G52" s="19"/>
    </row>
    <row r="53" spans="1:7" ht="32.25" customHeight="1" x14ac:dyDescent="0.3">
      <c r="A53" s="45" t="s">
        <v>622</v>
      </c>
      <c r="B53" s="52" t="s">
        <v>192</v>
      </c>
      <c r="C53" s="45" t="s">
        <v>662</v>
      </c>
      <c r="D53" s="45" t="s">
        <v>15</v>
      </c>
      <c r="E53" s="45">
        <v>1</v>
      </c>
      <c r="F53" s="47" t="s">
        <v>34</v>
      </c>
      <c r="G53" s="19"/>
    </row>
    <row r="54" spans="1:7" ht="45" customHeight="1" x14ac:dyDescent="0.3">
      <c r="A54" s="45" t="s">
        <v>622</v>
      </c>
      <c r="B54" s="46" t="s">
        <v>194</v>
      </c>
      <c r="C54" s="45" t="s">
        <v>663</v>
      </c>
      <c r="D54" s="45" t="s">
        <v>15</v>
      </c>
      <c r="E54" s="45">
        <v>2</v>
      </c>
      <c r="F54" s="47" t="s">
        <v>34</v>
      </c>
      <c r="G54" s="19"/>
    </row>
    <row r="55" spans="1:7" ht="32.25" customHeight="1" x14ac:dyDescent="0.3">
      <c r="A55" s="45" t="s">
        <v>622</v>
      </c>
      <c r="B55" s="48" t="s">
        <v>196</v>
      </c>
      <c r="C55" s="45" t="s">
        <v>664</v>
      </c>
      <c r="D55" s="45" t="s">
        <v>15</v>
      </c>
      <c r="E55" s="45">
        <v>3</v>
      </c>
      <c r="F55" s="47" t="s">
        <v>34</v>
      </c>
      <c r="G55" s="19"/>
    </row>
    <row r="56" spans="1:7" ht="32.25" customHeight="1" x14ac:dyDescent="0.3">
      <c r="A56" s="45" t="s">
        <v>622</v>
      </c>
      <c r="B56" s="51" t="s">
        <v>198</v>
      </c>
      <c r="C56" s="45" t="s">
        <v>665</v>
      </c>
      <c r="D56" s="45" t="s">
        <v>15</v>
      </c>
      <c r="E56" s="45">
        <v>3</v>
      </c>
      <c r="F56" s="47" t="s">
        <v>34</v>
      </c>
      <c r="G56" s="19"/>
    </row>
    <row r="57" spans="1:7" ht="32.25" customHeight="1" x14ac:dyDescent="0.3">
      <c r="A57" s="45" t="s">
        <v>622</v>
      </c>
      <c r="B57" s="49" t="s">
        <v>200</v>
      </c>
      <c r="C57" s="45" t="s">
        <v>666</v>
      </c>
      <c r="D57" s="45" t="s">
        <v>15</v>
      </c>
      <c r="E57" s="45">
        <v>1</v>
      </c>
      <c r="F57" s="47" t="s">
        <v>34</v>
      </c>
      <c r="G57" s="19"/>
    </row>
    <row r="58" spans="1:7" ht="45" customHeight="1" x14ac:dyDescent="0.3">
      <c r="A58" s="45" t="s">
        <v>625</v>
      </c>
      <c r="B58" s="52" t="s">
        <v>192</v>
      </c>
      <c r="C58" s="45" t="s">
        <v>667</v>
      </c>
      <c r="D58" s="45" t="s">
        <v>9</v>
      </c>
      <c r="E58" s="45">
        <v>1</v>
      </c>
      <c r="F58" s="47" t="s">
        <v>34</v>
      </c>
      <c r="G58" s="19"/>
    </row>
    <row r="59" spans="1:7" ht="32.25" customHeight="1" x14ac:dyDescent="0.3">
      <c r="A59" s="45" t="s">
        <v>625</v>
      </c>
      <c r="B59" s="48" t="s">
        <v>196</v>
      </c>
      <c r="C59" s="45" t="s">
        <v>668</v>
      </c>
      <c r="D59" s="45" t="s">
        <v>9</v>
      </c>
      <c r="E59" s="45">
        <v>2</v>
      </c>
      <c r="F59" s="47" t="s">
        <v>34</v>
      </c>
      <c r="G59" s="19"/>
    </row>
    <row r="60" spans="1:7" ht="32.25" customHeight="1" x14ac:dyDescent="0.3">
      <c r="A60" s="45" t="s">
        <v>625</v>
      </c>
      <c r="B60" s="51" t="s">
        <v>198</v>
      </c>
      <c r="C60" s="45" t="s">
        <v>669</v>
      </c>
      <c r="D60" s="45" t="s">
        <v>9</v>
      </c>
      <c r="E60" s="45">
        <v>4</v>
      </c>
      <c r="F60" s="47" t="s">
        <v>34</v>
      </c>
      <c r="G60" s="19"/>
    </row>
    <row r="61" spans="1:7" ht="32.25" customHeight="1" x14ac:dyDescent="0.3">
      <c r="A61" s="45" t="s">
        <v>625</v>
      </c>
      <c r="B61" s="49" t="s">
        <v>200</v>
      </c>
      <c r="C61" s="45" t="s">
        <v>670</v>
      </c>
      <c r="D61" s="45" t="s">
        <v>9</v>
      </c>
      <c r="E61" s="45">
        <v>1</v>
      </c>
      <c r="F61" s="47" t="s">
        <v>34</v>
      </c>
      <c r="G61" s="19"/>
    </row>
    <row r="62" spans="1:7" ht="15.75" customHeight="1" x14ac:dyDescent="0.3">
      <c r="A62" s="19"/>
      <c r="B62" s="19"/>
      <c r="C62" s="19"/>
      <c r="D62" s="19"/>
      <c r="E62" s="19"/>
      <c r="F62" s="19"/>
      <c r="G62" s="19"/>
    </row>
    <row r="63" spans="1:7" ht="15.75" customHeight="1" x14ac:dyDescent="0.3">
      <c r="A63" s="42" t="s">
        <v>671</v>
      </c>
      <c r="B63" s="19"/>
      <c r="C63" s="19"/>
      <c r="D63" s="19"/>
      <c r="E63" s="19"/>
      <c r="F63" s="19"/>
      <c r="G63" s="19"/>
    </row>
    <row r="64" spans="1:7" ht="15.75" customHeight="1" x14ac:dyDescent="0.3">
      <c r="A64" s="43" t="s">
        <v>174</v>
      </c>
      <c r="B64" s="44"/>
      <c r="C64" s="44" t="s">
        <v>387</v>
      </c>
      <c r="D64" s="44" t="s">
        <v>388</v>
      </c>
      <c r="E64" s="44"/>
      <c r="F64" s="44" t="s">
        <v>389</v>
      </c>
      <c r="G64" s="19"/>
    </row>
    <row r="65" spans="1:7" ht="15.75" customHeight="1" x14ac:dyDescent="0.3">
      <c r="A65" s="45" t="s">
        <v>601</v>
      </c>
      <c r="B65" s="45"/>
      <c r="C65" s="45" t="s">
        <v>672</v>
      </c>
      <c r="D65" s="45" t="s">
        <v>6</v>
      </c>
      <c r="E65" s="45"/>
      <c r="F65" s="45" t="s">
        <v>18</v>
      </c>
      <c r="G65" s="19"/>
    </row>
    <row r="66" spans="1:7" ht="15.75" customHeight="1" x14ac:dyDescent="0.3">
      <c r="A66" s="45" t="s">
        <v>604</v>
      </c>
      <c r="B66" s="45"/>
      <c r="C66" s="45" t="s">
        <v>673</v>
      </c>
      <c r="D66" s="45" t="s">
        <v>6</v>
      </c>
      <c r="E66" s="45"/>
      <c r="F66" s="45" t="s">
        <v>18</v>
      </c>
      <c r="G66" s="19"/>
    </row>
    <row r="67" spans="1:7" ht="15.75" customHeight="1" x14ac:dyDescent="0.3">
      <c r="A67" s="45" t="s">
        <v>607</v>
      </c>
      <c r="B67" s="45"/>
      <c r="C67" s="45" t="s">
        <v>674</v>
      </c>
      <c r="D67" s="45" t="s">
        <v>6</v>
      </c>
      <c r="E67" s="45"/>
      <c r="F67" s="45" t="s">
        <v>18</v>
      </c>
      <c r="G67" s="19"/>
    </row>
    <row r="68" spans="1:7" ht="15.75" customHeight="1" x14ac:dyDescent="0.3">
      <c r="A68" s="45" t="s">
        <v>610</v>
      </c>
      <c r="B68" s="45"/>
      <c r="C68" s="45" t="s">
        <v>675</v>
      </c>
      <c r="D68" s="45" t="s">
        <v>6</v>
      </c>
      <c r="E68" s="45"/>
      <c r="F68" s="45" t="s">
        <v>18</v>
      </c>
      <c r="G68" s="19"/>
    </row>
    <row r="69" spans="1:7" ht="15.75" customHeight="1" x14ac:dyDescent="0.3">
      <c r="A69" s="45" t="s">
        <v>613</v>
      </c>
      <c r="B69" s="45"/>
      <c r="C69" s="45" t="s">
        <v>676</v>
      </c>
      <c r="D69" s="45" t="s">
        <v>6</v>
      </c>
      <c r="E69" s="45"/>
      <c r="F69" s="45" t="s">
        <v>18</v>
      </c>
      <c r="G69" s="19"/>
    </row>
    <row r="70" spans="1:7" ht="15.75" customHeight="1" x14ac:dyDescent="0.3">
      <c r="A70" s="45" t="s">
        <v>616</v>
      </c>
      <c r="B70" s="45"/>
      <c r="C70" s="45" t="s">
        <v>677</v>
      </c>
      <c r="D70" s="45" t="s">
        <v>12</v>
      </c>
      <c r="E70" s="45"/>
      <c r="F70" s="45" t="s">
        <v>6</v>
      </c>
      <c r="G70" s="19"/>
    </row>
    <row r="71" spans="1:7" ht="15.75" customHeight="1" x14ac:dyDescent="0.3">
      <c r="A71" s="45" t="s">
        <v>619</v>
      </c>
      <c r="B71" s="45"/>
      <c r="C71" s="45" t="s">
        <v>678</v>
      </c>
      <c r="D71" s="45" t="s">
        <v>18</v>
      </c>
      <c r="E71" s="45"/>
      <c r="F71" s="45" t="s">
        <v>12</v>
      </c>
      <c r="G71" s="19"/>
    </row>
    <row r="72" spans="1:7" ht="15.75" customHeight="1" x14ac:dyDescent="0.3">
      <c r="A72" s="45" t="s">
        <v>622</v>
      </c>
      <c r="B72" s="45"/>
      <c r="C72" s="45" t="s">
        <v>679</v>
      </c>
      <c r="D72" s="45" t="s">
        <v>15</v>
      </c>
      <c r="E72" s="45"/>
      <c r="F72" s="45" t="s">
        <v>9</v>
      </c>
      <c r="G72" s="19"/>
    </row>
    <row r="73" spans="1:7" ht="15.75" customHeight="1" x14ac:dyDescent="0.3">
      <c r="A73" s="45" t="s">
        <v>625</v>
      </c>
      <c r="B73" s="45"/>
      <c r="C73" s="45" t="s">
        <v>680</v>
      </c>
      <c r="D73" s="45" t="s">
        <v>9</v>
      </c>
      <c r="E73" s="45"/>
      <c r="F73" s="45" t="s">
        <v>15</v>
      </c>
      <c r="G73" s="19"/>
    </row>
    <row r="74" spans="1:7" ht="15.75" customHeight="1" x14ac:dyDescent="0.3">
      <c r="A74" s="19"/>
      <c r="B74" s="19"/>
      <c r="C74" s="19"/>
      <c r="D74" s="19"/>
      <c r="E74" s="19"/>
      <c r="F74" s="19"/>
      <c r="G74" s="19"/>
    </row>
    <row r="75" spans="1:7" ht="15.75" customHeight="1" x14ac:dyDescent="0.3">
      <c r="A75" s="42" t="s">
        <v>399</v>
      </c>
      <c r="B75" s="19"/>
      <c r="C75" s="19"/>
      <c r="D75" s="19"/>
      <c r="E75" s="19"/>
      <c r="F75" s="19"/>
      <c r="G75" s="19"/>
    </row>
    <row r="76" spans="1:7" ht="15.75" customHeight="1" x14ac:dyDescent="0.3">
      <c r="A76" s="43" t="s">
        <v>174</v>
      </c>
      <c r="B76" s="44" t="s">
        <v>224</v>
      </c>
      <c r="C76" s="44" t="s">
        <v>225</v>
      </c>
      <c r="D76" s="44" t="s">
        <v>400</v>
      </c>
      <c r="E76" s="44" t="s">
        <v>191</v>
      </c>
      <c r="F76" s="44" t="s">
        <v>226</v>
      </c>
      <c r="G76" s="19"/>
    </row>
    <row r="77" spans="1:7" ht="58.5" customHeight="1" x14ac:dyDescent="0.3">
      <c r="A77" s="45" t="s">
        <v>601</v>
      </c>
      <c r="B77" s="50" t="s">
        <v>681</v>
      </c>
      <c r="C77" s="45" t="s">
        <v>682</v>
      </c>
      <c r="D77" s="45" t="s">
        <v>18</v>
      </c>
      <c r="E77" s="45">
        <v>1.5</v>
      </c>
      <c r="F77" s="55" t="s">
        <v>683</v>
      </c>
      <c r="G77" s="19"/>
    </row>
    <row r="78" spans="1:7" ht="45" customHeight="1" x14ac:dyDescent="0.3">
      <c r="A78" s="45" t="s">
        <v>601</v>
      </c>
      <c r="B78" s="50" t="s">
        <v>684</v>
      </c>
      <c r="C78" s="45" t="s">
        <v>685</v>
      </c>
      <c r="D78" s="45" t="s">
        <v>18</v>
      </c>
      <c r="E78" s="45">
        <v>1.5</v>
      </c>
      <c r="F78" s="55" t="s">
        <v>683</v>
      </c>
      <c r="G78" s="19"/>
    </row>
    <row r="79" spans="1:7" ht="45" customHeight="1" x14ac:dyDescent="0.3">
      <c r="A79" s="45" t="s">
        <v>601</v>
      </c>
      <c r="B79" s="50" t="s">
        <v>686</v>
      </c>
      <c r="C79" s="45" t="s">
        <v>687</v>
      </c>
      <c r="D79" s="45" t="s">
        <v>18</v>
      </c>
      <c r="E79" s="45">
        <v>1.5</v>
      </c>
      <c r="F79" s="55" t="s">
        <v>683</v>
      </c>
      <c r="G79" s="19"/>
    </row>
    <row r="80" spans="1:7" ht="45" customHeight="1" x14ac:dyDescent="0.3">
      <c r="A80" s="45" t="s">
        <v>604</v>
      </c>
      <c r="B80" s="50" t="s">
        <v>688</v>
      </c>
      <c r="C80" s="45" t="s">
        <v>689</v>
      </c>
      <c r="D80" s="45" t="s">
        <v>18</v>
      </c>
      <c r="E80" s="45">
        <v>1.5</v>
      </c>
      <c r="F80" s="55" t="s">
        <v>683</v>
      </c>
      <c r="G80" s="19"/>
    </row>
    <row r="81" spans="1:7" ht="45" customHeight="1" x14ac:dyDescent="0.3">
      <c r="A81" s="45" t="s">
        <v>604</v>
      </c>
      <c r="B81" s="50" t="s">
        <v>690</v>
      </c>
      <c r="C81" s="45" t="s">
        <v>691</v>
      </c>
      <c r="D81" s="45" t="s">
        <v>18</v>
      </c>
      <c r="E81" s="45">
        <v>1.5</v>
      </c>
      <c r="F81" s="55" t="s">
        <v>683</v>
      </c>
      <c r="G81" s="19"/>
    </row>
    <row r="82" spans="1:7" ht="58.5" customHeight="1" x14ac:dyDescent="0.3">
      <c r="A82" s="45" t="s">
        <v>607</v>
      </c>
      <c r="B82" s="50" t="s">
        <v>692</v>
      </c>
      <c r="C82" s="45" t="s">
        <v>693</v>
      </c>
      <c r="D82" s="45" t="s">
        <v>18</v>
      </c>
      <c r="E82" s="45">
        <v>1.5</v>
      </c>
      <c r="F82" s="55" t="s">
        <v>683</v>
      </c>
      <c r="G82" s="19"/>
    </row>
    <row r="83" spans="1:7" ht="32.25" customHeight="1" x14ac:dyDescent="0.3">
      <c r="A83" s="45" t="s">
        <v>610</v>
      </c>
      <c r="B83" s="50" t="s">
        <v>694</v>
      </c>
      <c r="C83" s="45" t="s">
        <v>695</v>
      </c>
      <c r="D83" s="45" t="s">
        <v>18</v>
      </c>
      <c r="E83" s="45">
        <v>1.5</v>
      </c>
      <c r="F83" s="55" t="s">
        <v>683</v>
      </c>
      <c r="G83" s="19"/>
    </row>
    <row r="84" spans="1:7" ht="45" customHeight="1" x14ac:dyDescent="0.3">
      <c r="A84" s="45" t="s">
        <v>610</v>
      </c>
      <c r="B84" s="50" t="s">
        <v>696</v>
      </c>
      <c r="C84" s="45" t="s">
        <v>697</v>
      </c>
      <c r="D84" s="45" t="s">
        <v>18</v>
      </c>
      <c r="E84" s="45">
        <v>1.5</v>
      </c>
      <c r="F84" s="55" t="s">
        <v>683</v>
      </c>
      <c r="G84" s="19"/>
    </row>
    <row r="85" spans="1:7" ht="45" customHeight="1" x14ac:dyDescent="0.3">
      <c r="A85" s="45" t="s">
        <v>613</v>
      </c>
      <c r="B85" s="50" t="s">
        <v>698</v>
      </c>
      <c r="C85" s="45" t="s">
        <v>699</v>
      </c>
      <c r="D85" s="45" t="s">
        <v>18</v>
      </c>
      <c r="E85" s="45">
        <v>1.5</v>
      </c>
      <c r="F85" s="55" t="s">
        <v>683</v>
      </c>
      <c r="G85" s="19"/>
    </row>
    <row r="86" spans="1:7" ht="32.25" customHeight="1" x14ac:dyDescent="0.3">
      <c r="A86" s="45" t="s">
        <v>613</v>
      </c>
      <c r="B86" s="50" t="s">
        <v>700</v>
      </c>
      <c r="C86" s="45" t="s">
        <v>701</v>
      </c>
      <c r="D86" s="45" t="s">
        <v>18</v>
      </c>
      <c r="E86" s="45">
        <v>1.5</v>
      </c>
      <c r="F86" s="55" t="s">
        <v>683</v>
      </c>
      <c r="G86" s="19"/>
    </row>
    <row r="87" spans="1:7" ht="45" customHeight="1" x14ac:dyDescent="0.3">
      <c r="A87" s="45" t="s">
        <v>616</v>
      </c>
      <c r="B87" s="50" t="s">
        <v>702</v>
      </c>
      <c r="C87" s="45" t="s">
        <v>703</v>
      </c>
      <c r="D87" s="45" t="s">
        <v>6</v>
      </c>
      <c r="E87" s="45">
        <v>1.5</v>
      </c>
      <c r="F87" s="67" t="s">
        <v>403</v>
      </c>
      <c r="G87" s="19"/>
    </row>
    <row r="88" spans="1:7" ht="45" customHeight="1" x14ac:dyDescent="0.3">
      <c r="A88" s="45" t="s">
        <v>616</v>
      </c>
      <c r="B88" s="50" t="s">
        <v>704</v>
      </c>
      <c r="C88" s="45" t="s">
        <v>705</v>
      </c>
      <c r="D88" s="45" t="s">
        <v>6</v>
      </c>
      <c r="E88" s="45">
        <v>1.5</v>
      </c>
      <c r="F88" s="67" t="s">
        <v>403</v>
      </c>
      <c r="G88" s="19"/>
    </row>
    <row r="89" spans="1:7" ht="45" customHeight="1" x14ac:dyDescent="0.3">
      <c r="A89" s="45" t="s">
        <v>619</v>
      </c>
      <c r="B89" s="50" t="s">
        <v>706</v>
      </c>
      <c r="C89" s="45" t="s">
        <v>707</v>
      </c>
      <c r="D89" s="45" t="s">
        <v>12</v>
      </c>
      <c r="E89" s="45">
        <v>1.5</v>
      </c>
      <c r="F89" s="55" t="s">
        <v>683</v>
      </c>
      <c r="G89" s="19"/>
    </row>
    <row r="90" spans="1:7" ht="45" customHeight="1" x14ac:dyDescent="0.3">
      <c r="A90" s="45" t="s">
        <v>619</v>
      </c>
      <c r="B90" s="50" t="s">
        <v>708</v>
      </c>
      <c r="C90" s="45" t="s">
        <v>709</v>
      </c>
      <c r="D90" s="45" t="s">
        <v>12</v>
      </c>
      <c r="E90" s="45">
        <v>1.5</v>
      </c>
      <c r="F90" s="55" t="s">
        <v>683</v>
      </c>
      <c r="G90" s="19"/>
    </row>
    <row r="91" spans="1:7" ht="45" customHeight="1" x14ac:dyDescent="0.3">
      <c r="A91" s="45" t="s">
        <v>619</v>
      </c>
      <c r="B91" s="50" t="s">
        <v>710</v>
      </c>
      <c r="C91" s="45" t="s">
        <v>711</v>
      </c>
      <c r="D91" s="45" t="s">
        <v>12</v>
      </c>
      <c r="E91" s="45">
        <v>1.5</v>
      </c>
      <c r="F91" s="55" t="s">
        <v>683</v>
      </c>
      <c r="G91" s="19"/>
    </row>
    <row r="92" spans="1:7" ht="45" customHeight="1" x14ac:dyDescent="0.3">
      <c r="A92" s="45" t="s">
        <v>622</v>
      </c>
      <c r="B92" s="50" t="s">
        <v>712</v>
      </c>
      <c r="C92" s="45" t="s">
        <v>713</v>
      </c>
      <c r="D92" s="45" t="s">
        <v>9</v>
      </c>
      <c r="E92" s="45">
        <v>1.5</v>
      </c>
      <c r="F92" s="55" t="s">
        <v>683</v>
      </c>
      <c r="G92" s="19"/>
    </row>
    <row r="93" spans="1:7" ht="45" customHeight="1" x14ac:dyDescent="0.3">
      <c r="A93" s="45" t="s">
        <v>622</v>
      </c>
      <c r="B93" s="50" t="s">
        <v>714</v>
      </c>
      <c r="C93" s="45" t="s">
        <v>715</v>
      </c>
      <c r="D93" s="45" t="s">
        <v>9</v>
      </c>
      <c r="E93" s="45">
        <v>1.5</v>
      </c>
      <c r="F93" s="55" t="s">
        <v>683</v>
      </c>
      <c r="G93" s="19"/>
    </row>
    <row r="94" spans="1:7" ht="45" customHeight="1" x14ac:dyDescent="0.3">
      <c r="A94" s="45" t="s">
        <v>625</v>
      </c>
      <c r="B94" s="50" t="s">
        <v>716</v>
      </c>
      <c r="C94" s="45" t="s">
        <v>717</v>
      </c>
      <c r="D94" s="45" t="s">
        <v>15</v>
      </c>
      <c r="E94" s="45">
        <v>1.5</v>
      </c>
      <c r="F94" s="55" t="s">
        <v>683</v>
      </c>
      <c r="G94" s="19"/>
    </row>
    <row r="95" spans="1:7" ht="45" customHeight="1" x14ac:dyDescent="0.3">
      <c r="A95" s="45" t="s">
        <v>625</v>
      </c>
      <c r="B95" s="50" t="s">
        <v>718</v>
      </c>
      <c r="C95" s="45" t="s">
        <v>719</v>
      </c>
      <c r="D95" s="45" t="s">
        <v>15</v>
      </c>
      <c r="E95" s="45">
        <v>1.5</v>
      </c>
      <c r="F95" s="55" t="s">
        <v>683</v>
      </c>
      <c r="G95" s="19"/>
    </row>
    <row r="96" spans="1:7" ht="15.75" customHeight="1" x14ac:dyDescent="0.3">
      <c r="A96" s="19"/>
      <c r="B96" s="19"/>
      <c r="C96" s="19"/>
      <c r="D96" s="19"/>
      <c r="E96" s="19"/>
      <c r="F96" s="19"/>
      <c r="G96" s="19"/>
    </row>
    <row r="97" spans="1:7" ht="15.75" customHeight="1" x14ac:dyDescent="0.3">
      <c r="A97" s="42" t="s">
        <v>720</v>
      </c>
      <c r="B97" s="19"/>
      <c r="C97" s="19"/>
      <c r="D97" s="19"/>
      <c r="E97" s="19"/>
      <c r="F97" s="19"/>
      <c r="G97" s="19"/>
    </row>
    <row r="98" spans="1:7" ht="15.75" customHeight="1" x14ac:dyDescent="0.3">
      <c r="A98" s="43" t="s">
        <v>190</v>
      </c>
      <c r="B98" s="44" t="s">
        <v>29</v>
      </c>
      <c r="C98" s="44" t="s">
        <v>191</v>
      </c>
      <c r="D98" s="44" t="s">
        <v>27</v>
      </c>
      <c r="E98" s="44"/>
      <c r="F98" s="44"/>
      <c r="G98" s="19"/>
    </row>
    <row r="99" spans="1:7" ht="55.5" customHeight="1" x14ac:dyDescent="0.3">
      <c r="A99" s="45" t="s">
        <v>721</v>
      </c>
      <c r="B99" s="45" t="s">
        <v>12</v>
      </c>
      <c r="C99" s="45">
        <v>2</v>
      </c>
      <c r="D99" s="54" t="s">
        <v>118</v>
      </c>
      <c r="E99" s="45"/>
      <c r="F99" s="45"/>
      <c r="G99" s="19"/>
    </row>
    <row r="100" spans="1:7" ht="55.5" customHeight="1" x14ac:dyDescent="0.3">
      <c r="A100" s="45" t="s">
        <v>250</v>
      </c>
      <c r="B100" s="45" t="s">
        <v>12</v>
      </c>
      <c r="C100" s="45">
        <v>3</v>
      </c>
      <c r="D100" s="54" t="s">
        <v>118</v>
      </c>
      <c r="E100" s="45"/>
      <c r="F100" s="45"/>
      <c r="G100" s="19"/>
    </row>
    <row r="101" spans="1:7" ht="55.5" customHeight="1" x14ac:dyDescent="0.3">
      <c r="A101" s="45" t="s">
        <v>466</v>
      </c>
      <c r="B101" s="45" t="s">
        <v>12</v>
      </c>
      <c r="C101" s="45">
        <v>1</v>
      </c>
      <c r="D101" s="54" t="s">
        <v>118</v>
      </c>
      <c r="E101" s="45"/>
      <c r="F101" s="45"/>
      <c r="G101" s="19"/>
    </row>
    <row r="102" spans="1:7" ht="55.5" customHeight="1" x14ac:dyDescent="0.3">
      <c r="A102" s="45" t="s">
        <v>722</v>
      </c>
      <c r="B102" s="45" t="s">
        <v>12</v>
      </c>
      <c r="C102" s="45">
        <v>2</v>
      </c>
      <c r="D102" s="54" t="s">
        <v>118</v>
      </c>
      <c r="E102" s="45"/>
      <c r="F102" s="45"/>
      <c r="G102" s="19"/>
    </row>
    <row r="103" spans="1:7" ht="55.5" customHeight="1" x14ac:dyDescent="0.3">
      <c r="A103" s="45" t="s">
        <v>723</v>
      </c>
      <c r="B103" s="45" t="s">
        <v>12</v>
      </c>
      <c r="C103" s="45">
        <v>2</v>
      </c>
      <c r="D103" s="54" t="s">
        <v>118</v>
      </c>
      <c r="E103" s="45"/>
      <c r="F103" s="45"/>
      <c r="G103" s="19"/>
    </row>
    <row r="104" spans="1:7" ht="15.75" customHeight="1" x14ac:dyDescent="0.3">
      <c r="A104" s="19"/>
      <c r="B104" s="19"/>
      <c r="C104" s="19"/>
      <c r="D104" s="19"/>
      <c r="E104" s="19"/>
      <c r="F104" s="19"/>
      <c r="G104" s="19"/>
    </row>
    <row r="105" spans="1:7" ht="15.75" customHeight="1" x14ac:dyDescent="0.3">
      <c r="A105" s="53"/>
      <c r="B105" s="53" t="s">
        <v>252</v>
      </c>
      <c r="C105" s="53"/>
      <c r="D105" s="53"/>
      <c r="E105" s="53">
        <f>SUM(E23:E61)</f>
        <v>99</v>
      </c>
      <c r="F105" s="53"/>
      <c r="G105" s="19"/>
    </row>
    <row r="106" spans="1:7" ht="15.75" customHeight="1" x14ac:dyDescent="0.3">
      <c r="A106" s="53"/>
      <c r="B106" s="53" t="s">
        <v>253</v>
      </c>
      <c r="C106" s="53"/>
      <c r="D106" s="53"/>
      <c r="E106" s="53">
        <f>SUM(E77:E95)</f>
        <v>28.5</v>
      </c>
      <c r="F106" s="53"/>
      <c r="G106" s="19"/>
    </row>
    <row r="107" spans="1:7" ht="15.75" customHeight="1" x14ac:dyDescent="0.3">
      <c r="A107" s="53" t="s">
        <v>254</v>
      </c>
      <c r="B107" s="53"/>
      <c r="C107" s="53">
        <f>SUM(C99:C103)</f>
        <v>10</v>
      </c>
      <c r="D107" s="53"/>
      <c r="E107" s="53"/>
      <c r="F107" s="53"/>
      <c r="G107" s="19"/>
    </row>
    <row r="108" spans="1:7" ht="15.75" customHeight="1" x14ac:dyDescent="0.3">
      <c r="A108" s="19"/>
      <c r="B108" s="19"/>
      <c r="C108" s="19"/>
      <c r="D108" s="19"/>
      <c r="E108" s="19"/>
      <c r="F108" s="19"/>
      <c r="G108" s="19"/>
    </row>
    <row r="109" spans="1:7" ht="15.75" customHeight="1" x14ac:dyDescent="0.3">
      <c r="A109" s="19"/>
      <c r="B109" s="19"/>
      <c r="C109" s="19"/>
      <c r="D109" s="19"/>
      <c r="E109" s="19"/>
      <c r="F109" s="19"/>
      <c r="G109" s="19"/>
    </row>
    <row r="110" spans="1:7" ht="15.75" customHeight="1" x14ac:dyDescent="0.3">
      <c r="A110" s="19"/>
      <c r="B110" s="19"/>
      <c r="C110" s="19"/>
      <c r="D110" s="19"/>
      <c r="E110" s="19"/>
      <c r="F110" s="19"/>
      <c r="G110" s="19"/>
    </row>
    <row r="111" spans="1:7" ht="15.75" customHeight="1" x14ac:dyDescent="0.3">
      <c r="A111" s="19"/>
      <c r="B111" s="19"/>
      <c r="C111" s="19"/>
      <c r="D111" s="19"/>
      <c r="E111" s="19"/>
      <c r="F111" s="19"/>
      <c r="G111" s="19"/>
    </row>
    <row r="112" spans="1:7" ht="15.75" customHeight="1" x14ac:dyDescent="0.3">
      <c r="A112" s="19"/>
      <c r="B112" s="19"/>
      <c r="C112" s="19"/>
      <c r="D112" s="19"/>
      <c r="E112" s="19"/>
      <c r="F112" s="19"/>
      <c r="G112" s="19"/>
    </row>
    <row r="113" spans="1:7" ht="15.75" customHeight="1" x14ac:dyDescent="0.3">
      <c r="A113" s="19"/>
      <c r="B113" s="19"/>
      <c r="C113" s="19"/>
      <c r="D113" s="19"/>
      <c r="E113" s="19"/>
      <c r="F113" s="19"/>
      <c r="G113" s="19"/>
    </row>
    <row r="114" spans="1:7" ht="15.75" customHeight="1" x14ac:dyDescent="0.3">
      <c r="A114" s="19"/>
      <c r="B114" s="19"/>
      <c r="C114" s="19"/>
      <c r="D114" s="19"/>
      <c r="E114" s="19"/>
      <c r="F114" s="19"/>
      <c r="G114" s="19"/>
    </row>
    <row r="115" spans="1:7" ht="15.75" customHeight="1" x14ac:dyDescent="0.3">
      <c r="A115" s="19"/>
      <c r="B115" s="19"/>
      <c r="C115" s="19"/>
      <c r="D115" s="19"/>
      <c r="E115" s="19"/>
      <c r="F115" s="19"/>
      <c r="G115" s="19"/>
    </row>
    <row r="116" spans="1:7" ht="15.75" customHeight="1" x14ac:dyDescent="0.3">
      <c r="A116" s="19"/>
      <c r="B116" s="19"/>
      <c r="C116" s="19"/>
      <c r="D116" s="19"/>
      <c r="E116" s="19"/>
      <c r="F116" s="19"/>
      <c r="G116" s="19"/>
    </row>
    <row r="117" spans="1:7" ht="15.75" customHeight="1" x14ac:dyDescent="0.3">
      <c r="A117" s="19"/>
      <c r="B117" s="19"/>
      <c r="C117" s="19"/>
      <c r="D117" s="19"/>
      <c r="E117" s="19"/>
      <c r="F117" s="19"/>
      <c r="G117" s="19"/>
    </row>
    <row r="118" spans="1:7" ht="15.75" customHeight="1" x14ac:dyDescent="0.3">
      <c r="A118" s="19"/>
      <c r="B118" s="19"/>
      <c r="C118" s="19"/>
      <c r="D118" s="19"/>
      <c r="E118" s="19"/>
      <c r="F118" s="19"/>
      <c r="G118" s="19"/>
    </row>
    <row r="119" spans="1:7" ht="15.75" customHeight="1" x14ac:dyDescent="0.3">
      <c r="A119" s="19"/>
      <c r="B119" s="19"/>
      <c r="C119" s="19"/>
      <c r="D119" s="19"/>
      <c r="E119" s="19"/>
      <c r="F119" s="19"/>
      <c r="G119" s="19"/>
    </row>
    <row r="120" spans="1:7" ht="15.75" customHeight="1" x14ac:dyDescent="0.3">
      <c r="A120" s="19"/>
      <c r="B120" s="19"/>
      <c r="C120" s="19"/>
      <c r="D120" s="19"/>
      <c r="E120" s="19"/>
      <c r="F120" s="19"/>
      <c r="G120" s="19"/>
    </row>
    <row r="121" spans="1:7" ht="15.75" customHeight="1" x14ac:dyDescent="0.3">
      <c r="A121" s="19"/>
      <c r="B121" s="19"/>
      <c r="C121" s="19"/>
      <c r="D121" s="19"/>
      <c r="E121" s="19"/>
      <c r="F121" s="19"/>
      <c r="G121" s="19"/>
    </row>
    <row r="122" spans="1:7" ht="15.75" customHeight="1" x14ac:dyDescent="0.3">
      <c r="A122" s="19"/>
      <c r="B122" s="19"/>
      <c r="C122" s="19"/>
      <c r="D122" s="19"/>
      <c r="E122" s="19"/>
      <c r="F122" s="19"/>
      <c r="G122" s="19"/>
    </row>
    <row r="123" spans="1:7" ht="15.75" customHeight="1" x14ac:dyDescent="0.3">
      <c r="A123" s="19"/>
      <c r="B123" s="19"/>
      <c r="C123" s="19"/>
      <c r="D123" s="19"/>
      <c r="E123" s="19"/>
      <c r="F123" s="19"/>
      <c r="G123" s="19"/>
    </row>
    <row r="124" spans="1:7" ht="15.75" customHeight="1" x14ac:dyDescent="0.3">
      <c r="A124" s="19"/>
      <c r="B124" s="19"/>
      <c r="C124" s="19"/>
      <c r="D124" s="19"/>
      <c r="E124" s="19"/>
      <c r="F124" s="19"/>
      <c r="G124" s="19"/>
    </row>
    <row r="125" spans="1:7" ht="15.75" customHeight="1" x14ac:dyDescent="0.3">
      <c r="A125" s="19"/>
      <c r="B125" s="19"/>
      <c r="C125" s="19"/>
      <c r="D125" s="19"/>
      <c r="E125" s="19"/>
      <c r="F125" s="19"/>
      <c r="G125" s="19"/>
    </row>
    <row r="126" spans="1:7" ht="15.75" customHeight="1" x14ac:dyDescent="0.3">
      <c r="A126" s="19"/>
      <c r="B126" s="19"/>
      <c r="C126" s="19"/>
      <c r="D126" s="19"/>
      <c r="E126" s="19"/>
      <c r="F126" s="19"/>
      <c r="G126" s="19"/>
    </row>
    <row r="127" spans="1:7" ht="15.75" customHeight="1" x14ac:dyDescent="0.3">
      <c r="A127" s="19"/>
      <c r="B127" s="19"/>
      <c r="C127" s="19"/>
      <c r="D127" s="19"/>
      <c r="E127" s="19"/>
      <c r="F127" s="19"/>
      <c r="G127" s="19"/>
    </row>
    <row r="128" spans="1:7" ht="15.75" customHeight="1" x14ac:dyDescent="0.3">
      <c r="A128" s="19"/>
      <c r="B128" s="19"/>
      <c r="C128" s="19"/>
      <c r="D128" s="19"/>
      <c r="E128" s="19"/>
      <c r="F128" s="19"/>
      <c r="G128" s="19"/>
    </row>
    <row r="129" spans="1:7" ht="15.75" customHeight="1" x14ac:dyDescent="0.3">
      <c r="A129" s="19"/>
      <c r="B129" s="19"/>
      <c r="C129" s="19"/>
      <c r="D129" s="19"/>
      <c r="E129" s="19"/>
      <c r="F129" s="19"/>
      <c r="G129" s="19"/>
    </row>
    <row r="130" spans="1:7" ht="15.75" customHeight="1" x14ac:dyDescent="0.3">
      <c r="A130" s="19"/>
      <c r="B130" s="19"/>
      <c r="C130" s="19"/>
      <c r="D130" s="19"/>
      <c r="E130" s="19"/>
      <c r="F130" s="19"/>
      <c r="G130" s="19"/>
    </row>
    <row r="131" spans="1:7" ht="15.75" customHeight="1" x14ac:dyDescent="0.3">
      <c r="A131" s="19"/>
      <c r="B131" s="19"/>
      <c r="C131" s="19"/>
      <c r="D131" s="19"/>
      <c r="E131" s="19"/>
      <c r="F131" s="19"/>
      <c r="G131" s="19"/>
    </row>
    <row r="132" spans="1:7" ht="15.75" customHeight="1" x14ac:dyDescent="0.3">
      <c r="A132" s="19"/>
      <c r="B132" s="19"/>
      <c r="C132" s="19"/>
      <c r="D132" s="19"/>
      <c r="E132" s="19"/>
      <c r="F132" s="19"/>
      <c r="G132" s="19"/>
    </row>
    <row r="133" spans="1:7" ht="15.75" customHeight="1" x14ac:dyDescent="0.3">
      <c r="A133" s="19"/>
      <c r="B133" s="19"/>
      <c r="C133" s="19"/>
      <c r="D133" s="19"/>
      <c r="E133" s="19"/>
      <c r="F133" s="19"/>
      <c r="G133" s="19"/>
    </row>
    <row r="134" spans="1:7" ht="15.75" customHeight="1" x14ac:dyDescent="0.3">
      <c r="A134" s="19"/>
      <c r="B134" s="19"/>
      <c r="C134" s="19"/>
      <c r="D134" s="19"/>
      <c r="E134" s="19"/>
      <c r="F134" s="19"/>
      <c r="G134" s="19"/>
    </row>
    <row r="135" spans="1:7" ht="15.75" customHeight="1" x14ac:dyDescent="0.3">
      <c r="A135" s="19"/>
      <c r="B135" s="19"/>
      <c r="C135" s="19"/>
      <c r="D135" s="19"/>
      <c r="E135" s="19"/>
      <c r="F135" s="19"/>
      <c r="G135" s="19"/>
    </row>
    <row r="136" spans="1:7" ht="15.75" customHeight="1" x14ac:dyDescent="0.3">
      <c r="A136" s="19"/>
      <c r="B136" s="19"/>
      <c r="C136" s="19"/>
      <c r="D136" s="19"/>
      <c r="E136" s="19"/>
      <c r="F136" s="19"/>
      <c r="G136" s="19"/>
    </row>
    <row r="137" spans="1:7" ht="15.75" customHeight="1" x14ac:dyDescent="0.3">
      <c r="A137" s="19"/>
      <c r="B137" s="19"/>
      <c r="C137" s="19"/>
      <c r="D137" s="19"/>
      <c r="E137" s="19"/>
      <c r="F137" s="19"/>
      <c r="G137" s="19"/>
    </row>
    <row r="138" spans="1:7" ht="15.75" customHeight="1" x14ac:dyDescent="0.3">
      <c r="A138" s="19"/>
      <c r="B138" s="19"/>
      <c r="C138" s="19"/>
      <c r="D138" s="19"/>
      <c r="E138" s="19"/>
      <c r="F138" s="19"/>
      <c r="G138" s="19"/>
    </row>
    <row r="139" spans="1:7" ht="15.75" customHeight="1" x14ac:dyDescent="0.3">
      <c r="A139" s="19"/>
      <c r="B139" s="19"/>
      <c r="C139" s="19"/>
      <c r="D139" s="19"/>
      <c r="E139" s="19"/>
      <c r="F139" s="19"/>
      <c r="G139" s="19"/>
    </row>
    <row r="140" spans="1:7" ht="15.75" customHeight="1" x14ac:dyDescent="0.3">
      <c r="A140" s="19"/>
      <c r="B140" s="19"/>
      <c r="C140" s="19"/>
      <c r="D140" s="19"/>
      <c r="E140" s="19"/>
      <c r="F140" s="19"/>
      <c r="G140" s="19"/>
    </row>
    <row r="141" spans="1:7" ht="15.75" customHeight="1" x14ac:dyDescent="0.3">
      <c r="A141" s="19"/>
      <c r="B141" s="19"/>
      <c r="C141" s="19"/>
      <c r="D141" s="19"/>
      <c r="E141" s="19"/>
      <c r="F141" s="19"/>
      <c r="G141" s="19"/>
    </row>
    <row r="142" spans="1:7" ht="15.75" customHeight="1" x14ac:dyDescent="0.3">
      <c r="A142" s="19"/>
      <c r="B142" s="19"/>
      <c r="C142" s="19"/>
      <c r="D142" s="19"/>
      <c r="E142" s="19"/>
      <c r="F142" s="19"/>
      <c r="G142" s="19"/>
    </row>
    <row r="143" spans="1:7" ht="15.75" customHeight="1" x14ac:dyDescent="0.3">
      <c r="A143" s="19"/>
      <c r="B143" s="19"/>
      <c r="C143" s="19"/>
      <c r="D143" s="19"/>
      <c r="E143" s="19"/>
      <c r="F143" s="19"/>
      <c r="G143" s="19"/>
    </row>
    <row r="144" spans="1:7" ht="15.75" customHeight="1" x14ac:dyDescent="0.3">
      <c r="A144" s="19"/>
      <c r="B144" s="19"/>
      <c r="C144" s="19"/>
      <c r="D144" s="19"/>
      <c r="E144" s="19"/>
      <c r="F144" s="19"/>
      <c r="G144" s="19"/>
    </row>
    <row r="145" spans="1:7" ht="15.75" customHeight="1" x14ac:dyDescent="0.3">
      <c r="A145" s="19"/>
      <c r="B145" s="19"/>
      <c r="C145" s="19"/>
      <c r="D145" s="19"/>
      <c r="E145" s="19"/>
      <c r="F145" s="19"/>
      <c r="G145" s="19"/>
    </row>
    <row r="146" spans="1:7" ht="15.75" customHeight="1" x14ac:dyDescent="0.3">
      <c r="A146" s="19"/>
      <c r="B146" s="19"/>
      <c r="C146" s="19"/>
      <c r="D146" s="19"/>
      <c r="E146" s="19"/>
      <c r="F146" s="19"/>
      <c r="G146" s="19"/>
    </row>
    <row r="147" spans="1:7" ht="15.75" customHeight="1" x14ac:dyDescent="0.3">
      <c r="A147" s="19"/>
      <c r="B147" s="19"/>
      <c r="C147" s="19"/>
      <c r="D147" s="19"/>
      <c r="E147" s="19"/>
      <c r="F147" s="19"/>
      <c r="G147" s="19"/>
    </row>
    <row r="148" spans="1:7" ht="15.75" customHeight="1" x14ac:dyDescent="0.3">
      <c r="A148" s="19"/>
      <c r="B148" s="19"/>
      <c r="C148" s="19"/>
      <c r="D148" s="19"/>
      <c r="E148" s="19"/>
      <c r="F148" s="19"/>
      <c r="G148" s="19"/>
    </row>
    <row r="149" spans="1:7" ht="15.75" customHeight="1" x14ac:dyDescent="0.3">
      <c r="A149" s="19"/>
      <c r="B149" s="19"/>
      <c r="C149" s="19"/>
      <c r="D149" s="19"/>
      <c r="E149" s="19"/>
      <c r="F149" s="19"/>
      <c r="G149" s="19"/>
    </row>
    <row r="150" spans="1:7" ht="15.75" customHeight="1" x14ac:dyDescent="0.3">
      <c r="A150" s="19"/>
      <c r="B150" s="19"/>
      <c r="C150" s="19"/>
      <c r="D150" s="19"/>
      <c r="E150" s="19"/>
      <c r="F150" s="19"/>
      <c r="G150" s="19"/>
    </row>
    <row r="151" spans="1:7" ht="15.75" customHeight="1" x14ac:dyDescent="0.3">
      <c r="A151" s="19"/>
      <c r="B151" s="19"/>
      <c r="C151" s="19"/>
      <c r="D151" s="19"/>
      <c r="E151" s="19"/>
      <c r="F151" s="19"/>
      <c r="G151" s="19"/>
    </row>
    <row r="152" spans="1:7" ht="15.75" customHeight="1" x14ac:dyDescent="0.3">
      <c r="A152" s="19"/>
      <c r="B152" s="19"/>
      <c r="C152" s="19"/>
      <c r="D152" s="19"/>
      <c r="E152" s="19"/>
      <c r="F152" s="19"/>
      <c r="G152" s="19"/>
    </row>
    <row r="153" spans="1:7" ht="15.75" customHeight="1" x14ac:dyDescent="0.3">
      <c r="A153" s="19"/>
      <c r="B153" s="19"/>
      <c r="C153" s="19"/>
      <c r="D153" s="19"/>
      <c r="E153" s="19"/>
      <c r="F153" s="19"/>
      <c r="G153" s="19"/>
    </row>
    <row r="154" spans="1:7" ht="15.75" customHeight="1" x14ac:dyDescent="0.3">
      <c r="A154" s="19"/>
      <c r="B154" s="19"/>
      <c r="C154" s="19"/>
      <c r="D154" s="19"/>
      <c r="E154" s="19"/>
      <c r="F154" s="19"/>
      <c r="G154" s="19"/>
    </row>
    <row r="155" spans="1:7" ht="15.75" customHeight="1" x14ac:dyDescent="0.3">
      <c r="A155" s="19"/>
      <c r="B155" s="19"/>
      <c r="C155" s="19"/>
      <c r="D155" s="19"/>
      <c r="E155" s="19"/>
      <c r="F155" s="19"/>
      <c r="G155" s="19"/>
    </row>
    <row r="156" spans="1:7" ht="15.75" customHeight="1" x14ac:dyDescent="0.3">
      <c r="A156" s="19"/>
      <c r="B156" s="19"/>
      <c r="C156" s="19"/>
      <c r="D156" s="19"/>
      <c r="E156" s="19"/>
      <c r="F156" s="19"/>
      <c r="G156" s="19"/>
    </row>
    <row r="157" spans="1:7" ht="15.75" customHeight="1" x14ac:dyDescent="0.3">
      <c r="A157" s="19"/>
      <c r="B157" s="19"/>
      <c r="C157" s="19"/>
      <c r="D157" s="19"/>
      <c r="E157" s="19"/>
      <c r="F157" s="19"/>
      <c r="G157" s="19"/>
    </row>
    <row r="158" spans="1:7" ht="15.75" customHeight="1" x14ac:dyDescent="0.3">
      <c r="A158" s="19"/>
      <c r="B158" s="19"/>
      <c r="C158" s="19"/>
      <c r="D158" s="19"/>
      <c r="E158" s="19"/>
      <c r="F158" s="19"/>
      <c r="G158" s="19"/>
    </row>
    <row r="159" spans="1:7" ht="15.75" customHeight="1" x14ac:dyDescent="0.3">
      <c r="A159" s="19"/>
      <c r="B159" s="19"/>
      <c r="C159" s="19"/>
      <c r="D159" s="19"/>
      <c r="E159" s="19"/>
      <c r="F159" s="19"/>
      <c r="G159" s="19"/>
    </row>
    <row r="160" spans="1:7" ht="15.75" customHeight="1" x14ac:dyDescent="0.3">
      <c r="A160" s="19"/>
      <c r="B160" s="19"/>
      <c r="C160" s="19"/>
      <c r="D160" s="19"/>
      <c r="E160" s="19"/>
      <c r="F160" s="19"/>
      <c r="G160" s="19"/>
    </row>
    <row r="161" spans="1:7" ht="15.75" customHeight="1" x14ac:dyDescent="0.3">
      <c r="A161" s="19"/>
      <c r="B161" s="19"/>
      <c r="C161" s="19"/>
      <c r="D161" s="19"/>
      <c r="E161" s="19"/>
      <c r="F161" s="19"/>
      <c r="G161" s="19"/>
    </row>
    <row r="162" spans="1:7" ht="15.75" customHeight="1" x14ac:dyDescent="0.3">
      <c r="A162" s="19"/>
      <c r="B162" s="19"/>
      <c r="C162" s="19"/>
      <c r="D162" s="19"/>
      <c r="E162" s="19"/>
      <c r="F162" s="19"/>
      <c r="G162" s="19"/>
    </row>
    <row r="163" spans="1:7" ht="15.75" customHeight="1" x14ac:dyDescent="0.3">
      <c r="A163" s="19"/>
      <c r="B163" s="19"/>
      <c r="C163" s="19"/>
      <c r="D163" s="19"/>
      <c r="E163" s="19"/>
      <c r="F163" s="19"/>
      <c r="G163" s="19"/>
    </row>
    <row r="164" spans="1:7" ht="15.75" customHeight="1" x14ac:dyDescent="0.3">
      <c r="A164" s="19"/>
      <c r="B164" s="19"/>
      <c r="C164" s="19"/>
      <c r="D164" s="19"/>
      <c r="E164" s="19"/>
      <c r="F164" s="19"/>
      <c r="G164" s="19"/>
    </row>
    <row r="165" spans="1:7" ht="15.75" customHeight="1" x14ac:dyDescent="0.3">
      <c r="A165" s="19"/>
      <c r="B165" s="19"/>
      <c r="C165" s="19"/>
      <c r="D165" s="19"/>
      <c r="E165" s="19"/>
      <c r="F165" s="19"/>
      <c r="G165" s="19"/>
    </row>
    <row r="166" spans="1:7" ht="15.75" customHeight="1" x14ac:dyDescent="0.3">
      <c r="A166" s="19"/>
      <c r="B166" s="19"/>
      <c r="C166" s="19"/>
      <c r="D166" s="19"/>
      <c r="E166" s="19"/>
      <c r="F166" s="19"/>
      <c r="G166" s="19"/>
    </row>
    <row r="167" spans="1:7" ht="15.75" customHeight="1" x14ac:dyDescent="0.3">
      <c r="A167" s="19"/>
      <c r="B167" s="19"/>
      <c r="C167" s="19"/>
      <c r="D167" s="19"/>
      <c r="E167" s="19"/>
      <c r="F167" s="19"/>
      <c r="G167" s="19"/>
    </row>
    <row r="168" spans="1:7" ht="15.75" customHeight="1" x14ac:dyDescent="0.3">
      <c r="A168" s="19"/>
      <c r="B168" s="19"/>
      <c r="C168" s="19"/>
      <c r="D168" s="19"/>
      <c r="E168" s="19"/>
      <c r="F168" s="19"/>
      <c r="G168" s="19"/>
    </row>
    <row r="169" spans="1:7" ht="15.75" customHeight="1" x14ac:dyDescent="0.3">
      <c r="A169" s="19"/>
      <c r="B169" s="19"/>
      <c r="C169" s="19"/>
      <c r="D169" s="19"/>
      <c r="E169" s="19"/>
      <c r="F169" s="19"/>
      <c r="G169" s="19"/>
    </row>
    <row r="170" spans="1:7" ht="15.75" customHeight="1" x14ac:dyDescent="0.3">
      <c r="A170" s="19"/>
      <c r="B170" s="19"/>
      <c r="C170" s="19"/>
      <c r="D170" s="19"/>
      <c r="E170" s="19"/>
      <c r="F170" s="19"/>
      <c r="G170" s="19"/>
    </row>
    <row r="171" spans="1:7" ht="15.75" customHeight="1" x14ac:dyDescent="0.3">
      <c r="A171" s="19"/>
      <c r="B171" s="19"/>
      <c r="C171" s="19"/>
      <c r="D171" s="19"/>
      <c r="E171" s="19"/>
      <c r="F171" s="19"/>
      <c r="G171" s="19"/>
    </row>
    <row r="172" spans="1:7" ht="15.75" customHeight="1" x14ac:dyDescent="0.3">
      <c r="A172" s="19"/>
      <c r="B172" s="19"/>
      <c r="C172" s="19"/>
      <c r="D172" s="19"/>
      <c r="E172" s="19"/>
      <c r="F172" s="19"/>
      <c r="G172" s="19"/>
    </row>
    <row r="173" spans="1:7" ht="15.75" customHeight="1" x14ac:dyDescent="0.3">
      <c r="A173" s="19"/>
      <c r="B173" s="19"/>
      <c r="C173" s="19"/>
      <c r="D173" s="19"/>
      <c r="E173" s="19"/>
      <c r="F173" s="19"/>
      <c r="G173" s="19"/>
    </row>
    <row r="174" spans="1:7" ht="15.75" customHeight="1" x14ac:dyDescent="0.3">
      <c r="A174" s="19"/>
      <c r="B174" s="19"/>
      <c r="C174" s="19"/>
      <c r="D174" s="19"/>
      <c r="E174" s="19"/>
      <c r="F174" s="19"/>
      <c r="G174" s="19"/>
    </row>
    <row r="175" spans="1:7" ht="15.75" customHeight="1" x14ac:dyDescent="0.3">
      <c r="A175" s="19"/>
      <c r="B175" s="19"/>
      <c r="C175" s="19"/>
      <c r="D175" s="19"/>
      <c r="E175" s="19"/>
      <c r="F175" s="19"/>
      <c r="G175" s="19"/>
    </row>
    <row r="176" spans="1:7" ht="15.75" customHeight="1" x14ac:dyDescent="0.3">
      <c r="A176" s="19"/>
      <c r="B176" s="19"/>
      <c r="C176" s="19"/>
      <c r="D176" s="19"/>
      <c r="E176" s="19"/>
      <c r="F176" s="19"/>
      <c r="G176" s="19"/>
    </row>
    <row r="177" spans="1:7" ht="15.75" customHeight="1" x14ac:dyDescent="0.3">
      <c r="A177" s="19"/>
      <c r="B177" s="19"/>
      <c r="C177" s="19"/>
      <c r="D177" s="19"/>
      <c r="E177" s="19"/>
      <c r="F177" s="19"/>
      <c r="G177" s="19"/>
    </row>
    <row r="178" spans="1:7" ht="15.75" customHeight="1" x14ac:dyDescent="0.3">
      <c r="A178" s="19"/>
      <c r="B178" s="19"/>
      <c r="C178" s="19"/>
      <c r="D178" s="19"/>
      <c r="E178" s="19"/>
      <c r="F178" s="19"/>
      <c r="G178" s="19"/>
    </row>
    <row r="179" spans="1:7" ht="15.75" customHeight="1" x14ac:dyDescent="0.3">
      <c r="A179" s="19"/>
      <c r="B179" s="19"/>
      <c r="C179" s="19"/>
      <c r="D179" s="19"/>
      <c r="E179" s="19"/>
      <c r="F179" s="19"/>
      <c r="G179" s="19"/>
    </row>
    <row r="180" spans="1:7" ht="15.75" customHeight="1" x14ac:dyDescent="0.3">
      <c r="A180" s="19"/>
      <c r="B180" s="19"/>
      <c r="C180" s="19"/>
      <c r="D180" s="19"/>
      <c r="E180" s="19"/>
      <c r="F180" s="19"/>
      <c r="G180" s="19"/>
    </row>
    <row r="181" spans="1:7" ht="15.75" customHeight="1" x14ac:dyDescent="0.3">
      <c r="A181" s="19"/>
      <c r="B181" s="19"/>
      <c r="C181" s="19"/>
      <c r="D181" s="19"/>
      <c r="E181" s="19"/>
      <c r="F181" s="19"/>
      <c r="G181" s="19"/>
    </row>
    <row r="182" spans="1:7" ht="15.75" customHeight="1" x14ac:dyDescent="0.3">
      <c r="A182" s="19"/>
      <c r="B182" s="19"/>
      <c r="C182" s="19"/>
      <c r="D182" s="19"/>
      <c r="E182" s="19"/>
      <c r="F182" s="19"/>
      <c r="G182" s="19"/>
    </row>
    <row r="183" spans="1:7" ht="15.75" customHeight="1" x14ac:dyDescent="0.3">
      <c r="A183" s="19"/>
      <c r="B183" s="19"/>
      <c r="C183" s="19"/>
      <c r="D183" s="19"/>
      <c r="E183" s="19"/>
      <c r="F183" s="19"/>
      <c r="G183" s="19"/>
    </row>
    <row r="184" spans="1:7" ht="15.75" customHeight="1" x14ac:dyDescent="0.3">
      <c r="A184" s="19"/>
      <c r="B184" s="19"/>
      <c r="C184" s="19"/>
      <c r="D184" s="19"/>
      <c r="E184" s="19"/>
      <c r="F184" s="19"/>
      <c r="G184" s="19"/>
    </row>
    <row r="185" spans="1:7" ht="15.75" customHeight="1" x14ac:dyDescent="0.3">
      <c r="A185" s="19"/>
      <c r="B185" s="19"/>
      <c r="C185" s="19"/>
      <c r="D185" s="19"/>
      <c r="E185" s="19"/>
      <c r="F185" s="19"/>
      <c r="G185" s="19"/>
    </row>
    <row r="186" spans="1:7" ht="15.75" customHeight="1" x14ac:dyDescent="0.3">
      <c r="A186" s="19"/>
      <c r="B186" s="19"/>
      <c r="C186" s="19"/>
      <c r="D186" s="19"/>
      <c r="E186" s="19"/>
      <c r="F186" s="19"/>
      <c r="G186" s="19"/>
    </row>
    <row r="187" spans="1:7" ht="15.75" customHeight="1" x14ac:dyDescent="0.3">
      <c r="A187" s="19"/>
      <c r="B187" s="19"/>
      <c r="C187" s="19"/>
      <c r="D187" s="19"/>
      <c r="E187" s="19"/>
      <c r="F187" s="19"/>
      <c r="G187" s="19"/>
    </row>
    <row r="188" spans="1:7" ht="15.75" customHeight="1" x14ac:dyDescent="0.3">
      <c r="A188" s="19"/>
      <c r="B188" s="19"/>
      <c r="C188" s="19"/>
      <c r="D188" s="19"/>
      <c r="E188" s="19"/>
      <c r="F188" s="19"/>
      <c r="G188" s="19"/>
    </row>
    <row r="189" spans="1:7" ht="15.75" customHeight="1" x14ac:dyDescent="0.3">
      <c r="A189" s="19"/>
      <c r="B189" s="19"/>
      <c r="C189" s="19"/>
      <c r="D189" s="19"/>
      <c r="E189" s="19"/>
      <c r="F189" s="19"/>
      <c r="G189" s="19"/>
    </row>
    <row r="190" spans="1:7" ht="15.75" customHeight="1" x14ac:dyDescent="0.3">
      <c r="A190" s="19"/>
      <c r="B190" s="19"/>
      <c r="C190" s="19"/>
      <c r="D190" s="19"/>
      <c r="E190" s="19"/>
      <c r="F190" s="19"/>
      <c r="G190" s="19"/>
    </row>
    <row r="191" spans="1:7" ht="15.75" customHeight="1" x14ac:dyDescent="0.3">
      <c r="A191" s="19"/>
      <c r="B191" s="19"/>
      <c r="C191" s="19"/>
      <c r="D191" s="19"/>
      <c r="E191" s="19"/>
      <c r="F191" s="19"/>
      <c r="G191" s="19"/>
    </row>
    <row r="192" spans="1:7" ht="15.75" customHeight="1" x14ac:dyDescent="0.3">
      <c r="A192" s="19"/>
      <c r="B192" s="19"/>
      <c r="C192" s="19"/>
      <c r="D192" s="19"/>
      <c r="E192" s="19"/>
      <c r="F192" s="19"/>
      <c r="G192" s="19"/>
    </row>
    <row r="193" spans="1:7" ht="15.75" customHeight="1" x14ac:dyDescent="0.3">
      <c r="A193" s="19"/>
      <c r="B193" s="19"/>
      <c r="C193" s="19"/>
      <c r="D193" s="19"/>
      <c r="E193" s="19"/>
      <c r="F193" s="19"/>
      <c r="G193" s="19"/>
    </row>
    <row r="194" spans="1:7" ht="15.75" customHeight="1" x14ac:dyDescent="0.3">
      <c r="A194" s="19"/>
      <c r="B194" s="19"/>
      <c r="C194" s="19"/>
      <c r="D194" s="19"/>
      <c r="E194" s="19"/>
      <c r="F194" s="19"/>
      <c r="G194" s="19"/>
    </row>
    <row r="195" spans="1:7" ht="15.75" customHeight="1" x14ac:dyDescent="0.3">
      <c r="A195" s="19"/>
      <c r="B195" s="19"/>
      <c r="C195" s="19"/>
      <c r="D195" s="19"/>
      <c r="E195" s="19"/>
      <c r="F195" s="19"/>
      <c r="G195" s="19"/>
    </row>
    <row r="196" spans="1:7" ht="15.75" customHeight="1" x14ac:dyDescent="0.3">
      <c r="A196" s="19"/>
      <c r="B196" s="19"/>
      <c r="C196" s="19"/>
      <c r="D196" s="19"/>
      <c r="E196" s="19"/>
      <c r="F196" s="19"/>
      <c r="G196" s="19"/>
    </row>
    <row r="197" spans="1:7" ht="15.75" customHeight="1" x14ac:dyDescent="0.3">
      <c r="A197" s="19"/>
      <c r="B197" s="19"/>
      <c r="C197" s="19"/>
      <c r="D197" s="19"/>
      <c r="E197" s="19"/>
      <c r="F197" s="19"/>
      <c r="G197" s="19"/>
    </row>
    <row r="198" spans="1:7" ht="15.75" customHeight="1" x14ac:dyDescent="0.3">
      <c r="A198" s="19"/>
      <c r="B198" s="19"/>
      <c r="C198" s="19"/>
      <c r="D198" s="19"/>
      <c r="E198" s="19"/>
      <c r="F198" s="19"/>
      <c r="G198" s="19"/>
    </row>
    <row r="199" spans="1:7" ht="15.75" customHeight="1" x14ac:dyDescent="0.3">
      <c r="A199" s="19"/>
      <c r="B199" s="19"/>
      <c r="C199" s="19"/>
      <c r="D199" s="19"/>
      <c r="E199" s="19"/>
      <c r="F199" s="19"/>
      <c r="G199" s="19"/>
    </row>
    <row r="200" spans="1:7" ht="15.75" customHeight="1" x14ac:dyDescent="0.3">
      <c r="A200" s="19"/>
      <c r="B200" s="19"/>
      <c r="C200" s="19"/>
      <c r="D200" s="19"/>
      <c r="E200" s="19"/>
      <c r="F200" s="19"/>
      <c r="G200" s="19"/>
    </row>
    <row r="201" spans="1:7" ht="15.75" customHeight="1" x14ac:dyDescent="0.3">
      <c r="A201" s="19"/>
      <c r="B201" s="19"/>
      <c r="C201" s="19"/>
      <c r="D201" s="19"/>
      <c r="E201" s="19"/>
      <c r="F201" s="19"/>
      <c r="G201" s="19"/>
    </row>
    <row r="202" spans="1:7" ht="15.75" customHeight="1" x14ac:dyDescent="0.3">
      <c r="A202" s="19"/>
      <c r="B202" s="19"/>
      <c r="C202" s="19"/>
      <c r="D202" s="19"/>
      <c r="E202" s="19"/>
      <c r="F202" s="19"/>
      <c r="G202" s="19"/>
    </row>
    <row r="203" spans="1:7" ht="15.75" customHeight="1" x14ac:dyDescent="0.3">
      <c r="A203" s="19"/>
      <c r="B203" s="19"/>
      <c r="C203" s="19"/>
      <c r="D203" s="19"/>
      <c r="E203" s="19"/>
      <c r="F203" s="19"/>
      <c r="G203" s="19"/>
    </row>
    <row r="204" spans="1:7" ht="15.75" customHeight="1" x14ac:dyDescent="0.3">
      <c r="A204" s="19"/>
      <c r="B204" s="19"/>
      <c r="C204" s="19"/>
      <c r="D204" s="19"/>
      <c r="E204" s="19"/>
      <c r="F204" s="19"/>
      <c r="G204" s="19"/>
    </row>
    <row r="205" spans="1:7" ht="15.75" customHeight="1" x14ac:dyDescent="0.3">
      <c r="A205" s="19"/>
      <c r="B205" s="19"/>
      <c r="C205" s="19"/>
      <c r="D205" s="19"/>
      <c r="E205" s="19"/>
      <c r="F205" s="19"/>
      <c r="G205" s="19"/>
    </row>
    <row r="206" spans="1:7" ht="15.75" customHeight="1" x14ac:dyDescent="0.3">
      <c r="A206" s="19"/>
      <c r="B206" s="19"/>
      <c r="C206" s="19"/>
      <c r="D206" s="19"/>
      <c r="E206" s="19"/>
      <c r="F206" s="19"/>
      <c r="G206" s="19"/>
    </row>
    <row r="207" spans="1:7" ht="15.75" customHeight="1" x14ac:dyDescent="0.3">
      <c r="A207" s="19"/>
      <c r="B207" s="19"/>
      <c r="C207" s="19"/>
      <c r="D207" s="19"/>
      <c r="E207" s="19"/>
      <c r="F207" s="19"/>
      <c r="G207" s="19"/>
    </row>
    <row r="208" spans="1:7" ht="15.75" customHeight="1" x14ac:dyDescent="0.3">
      <c r="A208" s="19"/>
      <c r="B208" s="19"/>
      <c r="C208" s="19"/>
      <c r="D208" s="19"/>
      <c r="E208" s="19"/>
      <c r="F208" s="19"/>
      <c r="G208" s="19"/>
    </row>
    <row r="209" spans="1:7" ht="15.75" customHeight="1" x14ac:dyDescent="0.3">
      <c r="A209" s="19"/>
      <c r="B209" s="19"/>
      <c r="C209" s="19"/>
      <c r="D209" s="19"/>
      <c r="E209" s="19"/>
      <c r="F209" s="19"/>
      <c r="G209" s="19"/>
    </row>
    <row r="210" spans="1:7" ht="15.75" customHeight="1" x14ac:dyDescent="0.3">
      <c r="A210" s="19"/>
      <c r="B210" s="19"/>
      <c r="C210" s="19"/>
      <c r="D210" s="19"/>
      <c r="E210" s="19"/>
      <c r="F210" s="19"/>
      <c r="G210" s="19"/>
    </row>
    <row r="211" spans="1:7" ht="15.75" customHeight="1" x14ac:dyDescent="0.3">
      <c r="A211" s="19"/>
      <c r="B211" s="19"/>
      <c r="C211" s="19"/>
      <c r="D211" s="19"/>
      <c r="E211" s="19"/>
      <c r="F211" s="19"/>
      <c r="G211" s="19"/>
    </row>
    <row r="212" spans="1:7" ht="15.75" customHeight="1" x14ac:dyDescent="0.3">
      <c r="A212" s="19"/>
      <c r="B212" s="19"/>
      <c r="C212" s="19"/>
      <c r="D212" s="19"/>
      <c r="E212" s="19"/>
      <c r="F212" s="19"/>
      <c r="G212" s="19"/>
    </row>
    <row r="213" spans="1:7" ht="15.75" customHeight="1" x14ac:dyDescent="0.3">
      <c r="A213" s="19"/>
      <c r="B213" s="19"/>
      <c r="C213" s="19"/>
      <c r="D213" s="19"/>
      <c r="E213" s="19"/>
      <c r="F213" s="19"/>
      <c r="G213" s="19"/>
    </row>
    <row r="214" spans="1:7" ht="15.75" customHeight="1" x14ac:dyDescent="0.3">
      <c r="A214" s="19"/>
      <c r="B214" s="19"/>
      <c r="C214" s="19"/>
      <c r="D214" s="19"/>
      <c r="E214" s="19"/>
      <c r="F214" s="19"/>
      <c r="G214" s="19"/>
    </row>
    <row r="215" spans="1:7" ht="15.75" customHeight="1" x14ac:dyDescent="0.3">
      <c r="A215" s="19"/>
      <c r="B215" s="19"/>
      <c r="C215" s="19"/>
      <c r="D215" s="19"/>
      <c r="E215" s="19"/>
      <c r="F215" s="19"/>
      <c r="G215" s="19"/>
    </row>
    <row r="216" spans="1:7" ht="15.75" customHeight="1" x14ac:dyDescent="0.3">
      <c r="A216" s="19"/>
      <c r="B216" s="19"/>
      <c r="C216" s="19"/>
      <c r="D216" s="19"/>
      <c r="E216" s="19"/>
      <c r="F216" s="19"/>
      <c r="G216" s="19"/>
    </row>
    <row r="217" spans="1:7" ht="15.75" customHeight="1" x14ac:dyDescent="0.3">
      <c r="A217" s="19"/>
      <c r="B217" s="19"/>
      <c r="C217" s="19"/>
      <c r="D217" s="19"/>
      <c r="E217" s="19"/>
      <c r="F217" s="19"/>
      <c r="G217" s="19"/>
    </row>
    <row r="218" spans="1:7" ht="15.75" customHeight="1" x14ac:dyDescent="0.3">
      <c r="A218" s="19"/>
      <c r="B218" s="19"/>
      <c r="C218" s="19"/>
      <c r="D218" s="19"/>
      <c r="E218" s="19"/>
      <c r="F218" s="19"/>
      <c r="G218" s="19"/>
    </row>
    <row r="219" spans="1:7" ht="15.75" customHeight="1" x14ac:dyDescent="0.3">
      <c r="A219" s="19"/>
      <c r="B219" s="19"/>
      <c r="C219" s="19"/>
      <c r="D219" s="19"/>
      <c r="E219" s="19"/>
      <c r="F219" s="19"/>
      <c r="G219" s="19"/>
    </row>
    <row r="220" spans="1:7" ht="15.75" customHeight="1" x14ac:dyDescent="0.3">
      <c r="A220" s="19"/>
      <c r="B220" s="19"/>
      <c r="C220" s="19"/>
      <c r="D220" s="19"/>
      <c r="E220" s="19"/>
      <c r="F220" s="19"/>
      <c r="G220" s="19"/>
    </row>
    <row r="221" spans="1:7" ht="15.75" customHeight="1" x14ac:dyDescent="0.3">
      <c r="A221" s="19"/>
      <c r="B221" s="19"/>
      <c r="C221" s="19"/>
      <c r="D221" s="19"/>
      <c r="E221" s="19"/>
      <c r="F221" s="19"/>
      <c r="G221" s="19"/>
    </row>
    <row r="222" spans="1:7" ht="15.75" customHeight="1" x14ac:dyDescent="0.3">
      <c r="A222" s="19"/>
      <c r="B222" s="19"/>
      <c r="C222" s="19"/>
      <c r="D222" s="19"/>
      <c r="E222" s="19"/>
      <c r="F222" s="19"/>
      <c r="G222" s="19"/>
    </row>
    <row r="223" spans="1:7" ht="15.75" customHeight="1" x14ac:dyDescent="0.3">
      <c r="A223" s="19"/>
      <c r="B223" s="19"/>
      <c r="C223" s="19"/>
      <c r="D223" s="19"/>
      <c r="E223" s="19"/>
      <c r="F223" s="19"/>
      <c r="G223" s="19"/>
    </row>
    <row r="224" spans="1:7" ht="15.75" customHeight="1" x14ac:dyDescent="0.3">
      <c r="A224" s="19"/>
      <c r="B224" s="19"/>
      <c r="C224" s="19"/>
      <c r="D224" s="19"/>
      <c r="E224" s="19"/>
      <c r="F224" s="19"/>
      <c r="G224" s="19"/>
    </row>
    <row r="225" spans="1:7" ht="15.75" customHeight="1" x14ac:dyDescent="0.3">
      <c r="A225" s="19"/>
      <c r="B225" s="19"/>
      <c r="C225" s="19"/>
      <c r="D225" s="19"/>
      <c r="E225" s="19"/>
      <c r="F225" s="19"/>
      <c r="G225" s="19"/>
    </row>
    <row r="226" spans="1:7" ht="15.75" customHeight="1" x14ac:dyDescent="0.3">
      <c r="A226" s="19"/>
      <c r="B226" s="19"/>
      <c r="C226" s="19"/>
      <c r="D226" s="19"/>
      <c r="E226" s="19"/>
      <c r="F226" s="19"/>
      <c r="G226" s="19"/>
    </row>
    <row r="227" spans="1:7" ht="15.75" customHeight="1" x14ac:dyDescent="0.3">
      <c r="A227" s="19"/>
      <c r="B227" s="19"/>
      <c r="C227" s="19"/>
      <c r="D227" s="19"/>
      <c r="E227" s="19"/>
      <c r="F227" s="19"/>
      <c r="G227" s="19"/>
    </row>
    <row r="228" spans="1:7" ht="15.75" customHeight="1" x14ac:dyDescent="0.3">
      <c r="A228" s="19"/>
      <c r="B228" s="19"/>
      <c r="C228" s="19"/>
      <c r="D228" s="19"/>
      <c r="E228" s="19"/>
      <c r="F228" s="19"/>
      <c r="G228" s="19"/>
    </row>
    <row r="229" spans="1:7" ht="15.75" customHeight="1" x14ac:dyDescent="0.3">
      <c r="A229" s="19"/>
      <c r="B229" s="19"/>
      <c r="C229" s="19"/>
      <c r="D229" s="19"/>
      <c r="E229" s="19"/>
      <c r="F229" s="19"/>
      <c r="G229" s="19"/>
    </row>
    <row r="230" spans="1:7" ht="15.75" customHeight="1" x14ac:dyDescent="0.3">
      <c r="A230" s="19"/>
      <c r="B230" s="19"/>
      <c r="C230" s="19"/>
      <c r="D230" s="19"/>
      <c r="E230" s="19"/>
      <c r="F230" s="19"/>
      <c r="G230" s="19"/>
    </row>
    <row r="231" spans="1:7" ht="15.75" customHeight="1" x14ac:dyDescent="0.3">
      <c r="A231" s="19"/>
      <c r="B231" s="19"/>
      <c r="C231" s="19"/>
      <c r="D231" s="19"/>
      <c r="E231" s="19"/>
      <c r="F231" s="19"/>
      <c r="G231" s="19"/>
    </row>
    <row r="232" spans="1:7" ht="15.75" customHeight="1" x14ac:dyDescent="0.3">
      <c r="A232" s="19"/>
      <c r="B232" s="19"/>
      <c r="C232" s="19"/>
      <c r="D232" s="19"/>
      <c r="E232" s="19"/>
      <c r="F232" s="19"/>
      <c r="G232" s="19"/>
    </row>
    <row r="233" spans="1:7" ht="15.75" customHeight="1" x14ac:dyDescent="0.3">
      <c r="A233" s="19"/>
      <c r="B233" s="19"/>
      <c r="C233" s="19"/>
      <c r="D233" s="19"/>
      <c r="E233" s="19"/>
      <c r="F233" s="19"/>
      <c r="G233" s="19"/>
    </row>
    <row r="234" spans="1:7" ht="15.75" customHeight="1" x14ac:dyDescent="0.3">
      <c r="A234" s="19"/>
      <c r="B234" s="19"/>
      <c r="C234" s="19"/>
      <c r="D234" s="19"/>
      <c r="E234" s="19"/>
      <c r="F234" s="19"/>
      <c r="G234" s="19"/>
    </row>
    <row r="235" spans="1:7" ht="15.75" customHeight="1" x14ac:dyDescent="0.3">
      <c r="A235" s="19"/>
      <c r="B235" s="19"/>
      <c r="C235" s="19"/>
      <c r="D235" s="19"/>
      <c r="E235" s="19"/>
      <c r="F235" s="19"/>
      <c r="G235" s="19"/>
    </row>
    <row r="236" spans="1:7" ht="15.75" customHeight="1" x14ac:dyDescent="0.3">
      <c r="A236" s="19"/>
      <c r="B236" s="19"/>
      <c r="C236" s="19"/>
      <c r="D236" s="19"/>
      <c r="E236" s="19"/>
      <c r="F236" s="19"/>
      <c r="G236" s="19"/>
    </row>
    <row r="237" spans="1:7" ht="15.75" customHeight="1" x14ac:dyDescent="0.3">
      <c r="A237" s="19"/>
      <c r="B237" s="19"/>
      <c r="C237" s="19"/>
      <c r="D237" s="19"/>
      <c r="E237" s="19"/>
      <c r="F237" s="19"/>
      <c r="G237" s="19"/>
    </row>
    <row r="238" spans="1:7" ht="15.75" customHeight="1" x14ac:dyDescent="0.3">
      <c r="A238" s="19"/>
      <c r="B238" s="19"/>
      <c r="C238" s="19"/>
      <c r="D238" s="19"/>
      <c r="E238" s="19"/>
      <c r="F238" s="19"/>
      <c r="G238" s="19"/>
    </row>
    <row r="239" spans="1:7" ht="15.75" customHeight="1" x14ac:dyDescent="0.3">
      <c r="A239" s="19"/>
      <c r="B239" s="19"/>
      <c r="C239" s="19"/>
      <c r="D239" s="19"/>
      <c r="E239" s="19"/>
      <c r="F239" s="19"/>
      <c r="G239" s="19"/>
    </row>
    <row r="240" spans="1:7" ht="15.75" customHeight="1" x14ac:dyDescent="0.3">
      <c r="A240" s="19"/>
      <c r="B240" s="19"/>
      <c r="C240" s="19"/>
      <c r="D240" s="19"/>
      <c r="E240" s="19"/>
      <c r="F240" s="19"/>
      <c r="G240" s="19"/>
    </row>
    <row r="241" spans="1:7" ht="15.75" customHeight="1" x14ac:dyDescent="0.3">
      <c r="A241" s="19"/>
      <c r="B241" s="19"/>
      <c r="C241" s="19"/>
      <c r="D241" s="19"/>
      <c r="E241" s="19"/>
      <c r="F241" s="19"/>
      <c r="G241" s="19"/>
    </row>
    <row r="242" spans="1:7" ht="15.75" customHeight="1" x14ac:dyDescent="0.3">
      <c r="A242" s="19"/>
      <c r="B242" s="19"/>
      <c r="C242" s="19"/>
      <c r="D242" s="19"/>
      <c r="E242" s="19"/>
      <c r="F242" s="19"/>
      <c r="G242" s="19"/>
    </row>
    <row r="243" spans="1:7" ht="15.75" customHeight="1" x14ac:dyDescent="0.3">
      <c r="A243" s="19"/>
      <c r="B243" s="19"/>
      <c r="C243" s="19"/>
      <c r="D243" s="19"/>
      <c r="E243" s="19"/>
      <c r="F243" s="19"/>
      <c r="G243" s="19"/>
    </row>
    <row r="244" spans="1:7" ht="15.75" customHeight="1" x14ac:dyDescent="0.3">
      <c r="A244" s="19"/>
      <c r="B244" s="19"/>
      <c r="C244" s="19"/>
      <c r="D244" s="19"/>
      <c r="E244" s="19"/>
      <c r="F244" s="19"/>
      <c r="G244" s="19"/>
    </row>
    <row r="245" spans="1:7" ht="15.75" customHeight="1" x14ac:dyDescent="0.3">
      <c r="A245" s="19"/>
      <c r="B245" s="19"/>
      <c r="C245" s="19"/>
      <c r="D245" s="19"/>
      <c r="E245" s="19"/>
      <c r="F245" s="19"/>
      <c r="G245" s="19"/>
    </row>
    <row r="246" spans="1:7" ht="15.75" customHeight="1" x14ac:dyDescent="0.3">
      <c r="A246" s="19"/>
      <c r="B246" s="19"/>
      <c r="C246" s="19"/>
      <c r="D246" s="19"/>
      <c r="E246" s="19"/>
      <c r="F246" s="19"/>
      <c r="G246" s="19"/>
    </row>
    <row r="247" spans="1:7" ht="15.75" customHeight="1" x14ac:dyDescent="0.3">
      <c r="A247" s="19"/>
      <c r="B247" s="19"/>
      <c r="C247" s="19"/>
      <c r="D247" s="19"/>
      <c r="E247" s="19"/>
      <c r="F247" s="19"/>
      <c r="G247" s="19"/>
    </row>
    <row r="248" spans="1:7" ht="15.75" customHeight="1" x14ac:dyDescent="0.3">
      <c r="A248" s="19"/>
      <c r="B248" s="19"/>
      <c r="C248" s="19"/>
      <c r="D248" s="19"/>
      <c r="E248" s="19"/>
      <c r="F248" s="19"/>
      <c r="G248" s="19"/>
    </row>
    <row r="249" spans="1:7" ht="15.75" customHeight="1" x14ac:dyDescent="0.3">
      <c r="A249" s="19"/>
      <c r="B249" s="19"/>
      <c r="C249" s="19"/>
      <c r="D249" s="19"/>
      <c r="E249" s="19"/>
      <c r="F249" s="19"/>
      <c r="G249" s="19"/>
    </row>
    <row r="250" spans="1:7" ht="15.75" customHeight="1" x14ac:dyDescent="0.3">
      <c r="A250" s="19"/>
      <c r="B250" s="19"/>
      <c r="C250" s="19"/>
      <c r="D250" s="19"/>
      <c r="E250" s="19"/>
      <c r="F250" s="19"/>
      <c r="G250" s="19"/>
    </row>
    <row r="251" spans="1:7" ht="15.75" customHeight="1" x14ac:dyDescent="0.3">
      <c r="A251" s="19"/>
      <c r="B251" s="19"/>
      <c r="C251" s="19"/>
      <c r="D251" s="19"/>
      <c r="E251" s="19"/>
      <c r="F251" s="19"/>
      <c r="G251" s="19"/>
    </row>
    <row r="252" spans="1:7" ht="15.75" customHeight="1" x14ac:dyDescent="0.3">
      <c r="A252" s="19"/>
      <c r="B252" s="19"/>
      <c r="C252" s="19"/>
      <c r="D252" s="19"/>
      <c r="E252" s="19"/>
      <c r="F252" s="19"/>
      <c r="G252" s="19"/>
    </row>
    <row r="253" spans="1:7" ht="15.75" customHeight="1" x14ac:dyDescent="0.3">
      <c r="A253" s="19"/>
      <c r="B253" s="19"/>
      <c r="C253" s="19"/>
      <c r="D253" s="19"/>
      <c r="E253" s="19"/>
      <c r="F253" s="19"/>
      <c r="G253" s="19"/>
    </row>
    <row r="254" spans="1:7" ht="15.75" customHeight="1" x14ac:dyDescent="0.3">
      <c r="A254" s="19"/>
      <c r="B254" s="19"/>
      <c r="C254" s="19"/>
      <c r="D254" s="19"/>
      <c r="E254" s="19"/>
      <c r="F254" s="19"/>
      <c r="G254" s="19"/>
    </row>
    <row r="255" spans="1:7" ht="15.75" customHeight="1" x14ac:dyDescent="0.3">
      <c r="A255" s="19"/>
      <c r="B255" s="19"/>
      <c r="C255" s="19"/>
      <c r="D255" s="19"/>
      <c r="E255" s="19"/>
      <c r="F255" s="19"/>
      <c r="G255" s="19"/>
    </row>
    <row r="256" spans="1:7" ht="15.75" customHeight="1" x14ac:dyDescent="0.3">
      <c r="A256" s="19"/>
      <c r="B256" s="19"/>
      <c r="C256" s="19"/>
      <c r="D256" s="19"/>
      <c r="E256" s="19"/>
      <c r="F256" s="19"/>
      <c r="G256" s="19"/>
    </row>
    <row r="257" spans="1:7" ht="15.75" customHeight="1" x14ac:dyDescent="0.3">
      <c r="A257" s="19"/>
      <c r="B257" s="19"/>
      <c r="C257" s="19"/>
      <c r="D257" s="19"/>
      <c r="E257" s="19"/>
      <c r="F257" s="19"/>
      <c r="G257" s="19"/>
    </row>
    <row r="258" spans="1:7" ht="15.75" customHeight="1" x14ac:dyDescent="0.3">
      <c r="A258" s="19"/>
      <c r="B258" s="19"/>
      <c r="C258" s="19"/>
      <c r="D258" s="19"/>
      <c r="E258" s="19"/>
      <c r="F258" s="19"/>
      <c r="G258" s="19"/>
    </row>
    <row r="259" spans="1:7" ht="15.75" customHeight="1" x14ac:dyDescent="0.3">
      <c r="A259" s="19"/>
      <c r="B259" s="19"/>
      <c r="C259" s="19"/>
      <c r="D259" s="19"/>
      <c r="E259" s="19"/>
      <c r="F259" s="19"/>
      <c r="G259" s="19"/>
    </row>
    <row r="260" spans="1:7" ht="15.75" customHeight="1" x14ac:dyDescent="0.3">
      <c r="A260" s="19"/>
      <c r="B260" s="19"/>
      <c r="C260" s="19"/>
      <c r="D260" s="19"/>
      <c r="E260" s="19"/>
      <c r="F260" s="19"/>
      <c r="G260" s="19"/>
    </row>
    <row r="261" spans="1:7" ht="15.75" customHeight="1" x14ac:dyDescent="0.3">
      <c r="A261" s="19"/>
      <c r="B261" s="19"/>
      <c r="C261" s="19"/>
      <c r="D261" s="19"/>
      <c r="E261" s="19"/>
      <c r="F261" s="19"/>
      <c r="G261" s="19"/>
    </row>
    <row r="262" spans="1:7" ht="15.75" customHeight="1" x14ac:dyDescent="0.3">
      <c r="A262" s="19"/>
      <c r="B262" s="19"/>
      <c r="C262" s="19"/>
      <c r="D262" s="19"/>
      <c r="E262" s="19"/>
      <c r="F262" s="19"/>
      <c r="G262" s="19"/>
    </row>
    <row r="263" spans="1:7" ht="15.75" customHeight="1" x14ac:dyDescent="0.3">
      <c r="A263" s="19"/>
      <c r="B263" s="19"/>
      <c r="C263" s="19"/>
      <c r="D263" s="19"/>
      <c r="E263" s="19"/>
      <c r="F263" s="19"/>
      <c r="G263" s="19"/>
    </row>
    <row r="264" spans="1:7" ht="15.75" customHeight="1" x14ac:dyDescent="0.3">
      <c r="A264" s="19"/>
      <c r="B264" s="19"/>
      <c r="C264" s="19"/>
      <c r="D264" s="19"/>
      <c r="E264" s="19"/>
      <c r="F264" s="19"/>
      <c r="G264" s="19"/>
    </row>
    <row r="265" spans="1:7" ht="15.75" customHeight="1" x14ac:dyDescent="0.3">
      <c r="A265" s="19"/>
      <c r="B265" s="19"/>
      <c r="C265" s="19"/>
      <c r="D265" s="19"/>
      <c r="E265" s="19"/>
      <c r="F265" s="19"/>
      <c r="G265" s="19"/>
    </row>
    <row r="266" spans="1:7" ht="15.75" customHeight="1" x14ac:dyDescent="0.3">
      <c r="A266" s="19"/>
      <c r="B266" s="19"/>
      <c r="C266" s="19"/>
      <c r="D266" s="19"/>
      <c r="E266" s="19"/>
      <c r="F266" s="19"/>
      <c r="G266" s="19"/>
    </row>
    <row r="267" spans="1:7" ht="15.75" customHeight="1" x14ac:dyDescent="0.3">
      <c r="A267" s="19"/>
      <c r="B267" s="19"/>
      <c r="C267" s="19"/>
      <c r="D267" s="19"/>
      <c r="E267" s="19"/>
      <c r="F267" s="19"/>
      <c r="G267" s="19"/>
    </row>
    <row r="268" spans="1:7" ht="15.75" customHeight="1" x14ac:dyDescent="0.3">
      <c r="A268" s="19"/>
      <c r="B268" s="19"/>
      <c r="C268" s="19"/>
      <c r="D268" s="19"/>
      <c r="E268" s="19"/>
      <c r="F268" s="19"/>
      <c r="G268" s="19"/>
    </row>
    <row r="269" spans="1:7" ht="15.75" customHeight="1" x14ac:dyDescent="0.3">
      <c r="A269" s="19"/>
      <c r="B269" s="19"/>
      <c r="C269" s="19"/>
      <c r="D269" s="19"/>
      <c r="E269" s="19"/>
      <c r="F269" s="19"/>
      <c r="G269" s="19"/>
    </row>
    <row r="270" spans="1:7" ht="15.75" customHeight="1" x14ac:dyDescent="0.3">
      <c r="A270" s="19"/>
      <c r="B270" s="19"/>
      <c r="C270" s="19"/>
      <c r="D270" s="19"/>
      <c r="E270" s="19"/>
      <c r="F270" s="19"/>
      <c r="G270" s="19"/>
    </row>
    <row r="271" spans="1:7" ht="15.75" customHeight="1" x14ac:dyDescent="0.3">
      <c r="A271" s="19"/>
      <c r="B271" s="19"/>
      <c r="C271" s="19"/>
      <c r="D271" s="19"/>
      <c r="E271" s="19"/>
      <c r="F271" s="19"/>
      <c r="G271" s="19"/>
    </row>
    <row r="272" spans="1:7" ht="15.75" customHeight="1" x14ac:dyDescent="0.3">
      <c r="A272" s="19"/>
      <c r="B272" s="19"/>
      <c r="C272" s="19"/>
      <c r="D272" s="19"/>
      <c r="E272" s="19"/>
      <c r="F272" s="19"/>
      <c r="G272" s="19"/>
    </row>
    <row r="273" spans="1:7" ht="15.75" customHeight="1" x14ac:dyDescent="0.3">
      <c r="A273" s="19"/>
      <c r="B273" s="19"/>
      <c r="C273" s="19"/>
      <c r="D273" s="19"/>
      <c r="E273" s="19"/>
      <c r="F273" s="19"/>
      <c r="G273" s="19"/>
    </row>
    <row r="274" spans="1:7" ht="15.75" customHeight="1" x14ac:dyDescent="0.3">
      <c r="A274" s="19"/>
      <c r="B274" s="19"/>
      <c r="C274" s="19"/>
      <c r="D274" s="19"/>
      <c r="E274" s="19"/>
      <c r="F274" s="19"/>
      <c r="G274" s="19"/>
    </row>
    <row r="275" spans="1:7" ht="15.75" customHeight="1" x14ac:dyDescent="0.3">
      <c r="A275" s="19"/>
      <c r="B275" s="19"/>
      <c r="C275" s="19"/>
      <c r="D275" s="19"/>
      <c r="E275" s="19"/>
      <c r="F275" s="19"/>
      <c r="G275" s="19"/>
    </row>
    <row r="276" spans="1:7" ht="15.75" customHeight="1" x14ac:dyDescent="0.3">
      <c r="A276" s="19"/>
      <c r="B276" s="19"/>
      <c r="C276" s="19"/>
      <c r="D276" s="19"/>
      <c r="E276" s="19"/>
      <c r="F276" s="19"/>
      <c r="G276" s="19"/>
    </row>
    <row r="277" spans="1:7" ht="15.75" customHeight="1" x14ac:dyDescent="0.3">
      <c r="A277" s="19"/>
      <c r="B277" s="19"/>
      <c r="C277" s="19"/>
      <c r="D277" s="19"/>
      <c r="E277" s="19"/>
      <c r="F277" s="19"/>
      <c r="G277" s="19"/>
    </row>
    <row r="278" spans="1:7" ht="15.75" customHeight="1" x14ac:dyDescent="0.3">
      <c r="A278" s="19"/>
      <c r="B278" s="19"/>
      <c r="C278" s="19"/>
      <c r="D278" s="19"/>
      <c r="E278" s="19"/>
      <c r="F278" s="19"/>
      <c r="G278" s="19"/>
    </row>
    <row r="279" spans="1:7" ht="15.75" customHeight="1" x14ac:dyDescent="0.3">
      <c r="A279" s="19"/>
      <c r="B279" s="19"/>
      <c r="C279" s="19"/>
      <c r="D279" s="19"/>
      <c r="E279" s="19"/>
      <c r="F279" s="19"/>
      <c r="G279" s="19"/>
    </row>
    <row r="280" spans="1:7" ht="15.75" customHeight="1" x14ac:dyDescent="0.3">
      <c r="A280" s="19"/>
      <c r="B280" s="19"/>
      <c r="C280" s="19"/>
      <c r="D280" s="19"/>
      <c r="E280" s="19"/>
      <c r="F280" s="19"/>
      <c r="G280" s="19"/>
    </row>
    <row r="281" spans="1:7" ht="15.75" customHeight="1" x14ac:dyDescent="0.3">
      <c r="A281" s="19"/>
      <c r="B281" s="19"/>
      <c r="C281" s="19"/>
      <c r="D281" s="19"/>
      <c r="E281" s="19"/>
      <c r="F281" s="19"/>
      <c r="G281" s="19"/>
    </row>
    <row r="282" spans="1:7" ht="15.75" customHeight="1" x14ac:dyDescent="0.3">
      <c r="A282" s="19"/>
      <c r="B282" s="19"/>
      <c r="C282" s="19"/>
      <c r="D282" s="19"/>
      <c r="E282" s="19"/>
      <c r="F282" s="19"/>
      <c r="G282" s="19"/>
    </row>
    <row r="283" spans="1:7" ht="15.75" customHeight="1" x14ac:dyDescent="0.3">
      <c r="A283" s="19"/>
      <c r="B283" s="19"/>
      <c r="C283" s="19"/>
      <c r="D283" s="19"/>
      <c r="E283" s="19"/>
      <c r="F283" s="19"/>
      <c r="G283" s="19"/>
    </row>
    <row r="284" spans="1:7" ht="15.75" customHeight="1" x14ac:dyDescent="0.3">
      <c r="A284" s="19"/>
      <c r="B284" s="19"/>
      <c r="C284" s="19"/>
      <c r="D284" s="19"/>
      <c r="E284" s="19"/>
      <c r="F284" s="19"/>
      <c r="G284" s="19"/>
    </row>
    <row r="285" spans="1:7" ht="15.75" customHeight="1" x14ac:dyDescent="0.3">
      <c r="A285" s="19"/>
      <c r="B285" s="19"/>
      <c r="C285" s="19"/>
      <c r="D285" s="19"/>
      <c r="E285" s="19"/>
      <c r="F285" s="19"/>
      <c r="G285" s="19"/>
    </row>
    <row r="286" spans="1:7" ht="15.75" customHeight="1" x14ac:dyDescent="0.3">
      <c r="A286" s="19"/>
      <c r="B286" s="19"/>
      <c r="C286" s="19"/>
      <c r="D286" s="19"/>
      <c r="E286" s="19"/>
      <c r="F286" s="19"/>
      <c r="G286" s="19"/>
    </row>
    <row r="287" spans="1:7" ht="15.75" customHeight="1" x14ac:dyDescent="0.3">
      <c r="A287" s="19"/>
      <c r="B287" s="19"/>
      <c r="C287" s="19"/>
      <c r="D287" s="19"/>
      <c r="E287" s="19"/>
      <c r="F287" s="19"/>
      <c r="G287" s="19"/>
    </row>
    <row r="288" spans="1:7" ht="15.75" customHeight="1" x14ac:dyDescent="0.3">
      <c r="A288" s="19"/>
      <c r="B288" s="19"/>
      <c r="C288" s="19"/>
      <c r="D288" s="19"/>
      <c r="E288" s="19"/>
      <c r="F288" s="19"/>
      <c r="G288" s="19"/>
    </row>
    <row r="289" spans="1:7" ht="15.75" customHeight="1" x14ac:dyDescent="0.3">
      <c r="A289" s="19"/>
      <c r="B289" s="19"/>
      <c r="C289" s="19"/>
      <c r="D289" s="19"/>
      <c r="E289" s="19"/>
      <c r="F289" s="19"/>
      <c r="G289" s="19"/>
    </row>
    <row r="290" spans="1:7" ht="15.75" customHeight="1" x14ac:dyDescent="0.3">
      <c r="A290" s="19"/>
      <c r="B290" s="19"/>
      <c r="C290" s="19"/>
      <c r="D290" s="19"/>
      <c r="E290" s="19"/>
      <c r="F290" s="19"/>
      <c r="G290" s="19"/>
    </row>
    <row r="291" spans="1:7" ht="15.75" customHeight="1" x14ac:dyDescent="0.3">
      <c r="A291" s="19"/>
      <c r="B291" s="19"/>
      <c r="C291" s="19"/>
      <c r="D291" s="19"/>
      <c r="E291" s="19"/>
      <c r="F291" s="19"/>
      <c r="G291" s="19"/>
    </row>
    <row r="292" spans="1:7" ht="15.75" customHeight="1" x14ac:dyDescent="0.3">
      <c r="A292" s="19"/>
      <c r="B292" s="19"/>
      <c r="C292" s="19"/>
      <c r="D292" s="19"/>
      <c r="E292" s="19"/>
      <c r="F292" s="19"/>
      <c r="G292" s="19"/>
    </row>
    <row r="293" spans="1:7" ht="15.75" customHeight="1" x14ac:dyDescent="0.3">
      <c r="A293" s="19"/>
      <c r="B293" s="19"/>
      <c r="C293" s="19"/>
      <c r="D293" s="19"/>
      <c r="E293" s="19"/>
      <c r="F293" s="19"/>
      <c r="G293" s="19"/>
    </row>
    <row r="294" spans="1:7" ht="15.75" customHeight="1" x14ac:dyDescent="0.3">
      <c r="A294" s="19"/>
      <c r="B294" s="19"/>
      <c r="C294" s="19"/>
      <c r="D294" s="19"/>
      <c r="E294" s="19"/>
      <c r="F294" s="19"/>
      <c r="G294" s="19"/>
    </row>
    <row r="295" spans="1:7" ht="15.75" customHeight="1" x14ac:dyDescent="0.3">
      <c r="A295" s="19"/>
      <c r="B295" s="19"/>
      <c r="C295" s="19"/>
      <c r="D295" s="19"/>
      <c r="E295" s="19"/>
      <c r="F295" s="19"/>
      <c r="G295" s="19"/>
    </row>
    <row r="296" spans="1:7" ht="15.75" customHeight="1" x14ac:dyDescent="0.3">
      <c r="A296" s="19"/>
      <c r="B296" s="19"/>
      <c r="C296" s="19"/>
      <c r="D296" s="19"/>
      <c r="E296" s="19"/>
      <c r="F296" s="19"/>
      <c r="G296" s="19"/>
    </row>
    <row r="297" spans="1:7" ht="15.75" customHeight="1" x14ac:dyDescent="0.3">
      <c r="A297" s="19"/>
      <c r="B297" s="19"/>
      <c r="C297" s="19"/>
      <c r="D297" s="19"/>
      <c r="E297" s="19"/>
      <c r="F297" s="19"/>
      <c r="G297" s="19"/>
    </row>
    <row r="298" spans="1:7" ht="15.75" customHeight="1" x14ac:dyDescent="0.3">
      <c r="A298" s="19"/>
      <c r="B298" s="19"/>
      <c r="C298" s="19"/>
      <c r="D298" s="19"/>
      <c r="E298" s="19"/>
      <c r="F298" s="19"/>
      <c r="G298" s="19"/>
    </row>
    <row r="299" spans="1:7" ht="15.75" customHeight="1" x14ac:dyDescent="0.3">
      <c r="A299" s="19"/>
      <c r="B299" s="19"/>
      <c r="C299" s="19"/>
      <c r="D299" s="19"/>
      <c r="E299" s="19"/>
      <c r="F299" s="19"/>
      <c r="G299" s="19"/>
    </row>
    <row r="300" spans="1:7" ht="15.75" customHeight="1" x14ac:dyDescent="0.3">
      <c r="A300" s="19"/>
      <c r="B300" s="19"/>
      <c r="C300" s="19"/>
      <c r="D300" s="19"/>
      <c r="E300" s="19"/>
      <c r="F300" s="19"/>
      <c r="G300" s="19"/>
    </row>
    <row r="301" spans="1:7" ht="15.75" customHeight="1" x14ac:dyDescent="0.3">
      <c r="A301" s="19"/>
      <c r="B301" s="19"/>
      <c r="C301" s="19"/>
      <c r="D301" s="19"/>
      <c r="E301" s="19"/>
      <c r="F301" s="19"/>
      <c r="G301" s="19"/>
    </row>
    <row r="302" spans="1:7" ht="15.75" customHeight="1" x14ac:dyDescent="0.3">
      <c r="A302" s="19"/>
      <c r="B302" s="19"/>
      <c r="C302" s="19"/>
      <c r="D302" s="19"/>
      <c r="E302" s="19"/>
      <c r="F302" s="19"/>
      <c r="G302" s="19"/>
    </row>
    <row r="303" spans="1:7" ht="15.75" customHeight="1" x14ac:dyDescent="0.3">
      <c r="A303" s="19"/>
      <c r="B303" s="19"/>
      <c r="C303" s="19"/>
      <c r="D303" s="19"/>
      <c r="E303" s="19"/>
      <c r="F303" s="19"/>
      <c r="G303" s="19"/>
    </row>
    <row r="304" spans="1:7" ht="15.75" customHeight="1" x14ac:dyDescent="0.3">
      <c r="A304" s="19"/>
      <c r="B304" s="19"/>
      <c r="C304" s="19"/>
      <c r="D304" s="19"/>
      <c r="E304" s="19"/>
      <c r="F304" s="19"/>
      <c r="G304" s="19"/>
    </row>
    <row r="305" spans="1:7" ht="15.75" customHeight="1" x14ac:dyDescent="0.3">
      <c r="A305" s="19"/>
      <c r="B305" s="19"/>
      <c r="C305" s="19"/>
      <c r="D305" s="19"/>
      <c r="E305" s="19"/>
      <c r="F305" s="19"/>
      <c r="G305" s="19"/>
    </row>
    <row r="306" spans="1:7" ht="15.75" customHeight="1" x14ac:dyDescent="0.3">
      <c r="A306" s="19"/>
      <c r="B306" s="19"/>
      <c r="C306" s="19"/>
      <c r="D306" s="19"/>
      <c r="E306" s="19"/>
      <c r="F306" s="19"/>
      <c r="G306" s="19"/>
    </row>
    <row r="307" spans="1:7" ht="15.75" customHeight="1" x14ac:dyDescent="0.3">
      <c r="A307" s="19"/>
      <c r="B307" s="19"/>
      <c r="C307" s="19"/>
      <c r="D307" s="19"/>
      <c r="E307" s="19"/>
      <c r="F307" s="19"/>
      <c r="G307" s="19"/>
    </row>
    <row r="308" spans="1:7" ht="15.75" customHeight="1" x14ac:dyDescent="0.3">
      <c r="A308" s="19"/>
      <c r="B308" s="19"/>
      <c r="C308" s="19"/>
      <c r="D308" s="19"/>
      <c r="E308" s="19"/>
      <c r="F308" s="19"/>
      <c r="G308" s="19"/>
    </row>
    <row r="309" spans="1:7" ht="15.75" customHeight="1" x14ac:dyDescent="0.3">
      <c r="A309" s="19"/>
      <c r="B309" s="19"/>
      <c r="C309" s="19"/>
      <c r="D309" s="19"/>
      <c r="E309" s="19"/>
      <c r="F309" s="19"/>
      <c r="G309" s="19"/>
    </row>
    <row r="310" spans="1:7" ht="15.75" customHeight="1" x14ac:dyDescent="0.3">
      <c r="A310" s="19"/>
      <c r="B310" s="19"/>
      <c r="C310" s="19"/>
      <c r="D310" s="19"/>
      <c r="E310" s="19"/>
      <c r="F310" s="19"/>
      <c r="G310" s="19"/>
    </row>
    <row r="311" spans="1:7" ht="15.75" customHeight="1" x14ac:dyDescent="0.3">
      <c r="A311" s="19"/>
      <c r="B311" s="19"/>
      <c r="C311" s="19"/>
      <c r="D311" s="19"/>
      <c r="E311" s="19"/>
      <c r="F311" s="19"/>
      <c r="G311" s="19"/>
    </row>
    <row r="312" spans="1:7" ht="15.75" customHeight="1" x14ac:dyDescent="0.3">
      <c r="A312" s="19"/>
      <c r="B312" s="19"/>
      <c r="C312" s="19"/>
      <c r="D312" s="19"/>
      <c r="E312" s="19"/>
      <c r="F312" s="19"/>
      <c r="G312" s="19"/>
    </row>
    <row r="313" spans="1:7" ht="15.75" customHeight="1" x14ac:dyDescent="0.3">
      <c r="A313" s="19"/>
      <c r="B313" s="19"/>
      <c r="C313" s="19"/>
      <c r="D313" s="19"/>
      <c r="E313" s="19"/>
      <c r="F313" s="19"/>
      <c r="G313" s="19"/>
    </row>
    <row r="314" spans="1:7" ht="15.75" customHeight="1" x14ac:dyDescent="0.3">
      <c r="A314" s="19"/>
      <c r="B314" s="19"/>
      <c r="C314" s="19"/>
      <c r="D314" s="19"/>
      <c r="E314" s="19"/>
      <c r="F314" s="19"/>
      <c r="G314" s="19"/>
    </row>
    <row r="315" spans="1:7" ht="15.75" customHeight="1" x14ac:dyDescent="0.3">
      <c r="A315" s="19"/>
      <c r="B315" s="19"/>
      <c r="C315" s="19"/>
      <c r="D315" s="19"/>
      <c r="E315" s="19"/>
      <c r="F315" s="19"/>
      <c r="G315" s="19"/>
    </row>
    <row r="316" spans="1:7" ht="15.75" customHeight="1" x14ac:dyDescent="0.3">
      <c r="A316" s="19"/>
      <c r="B316" s="19"/>
      <c r="C316" s="19"/>
      <c r="D316" s="19"/>
      <c r="E316" s="19"/>
      <c r="F316" s="19"/>
      <c r="G316" s="19"/>
    </row>
    <row r="317" spans="1:7" ht="15.75" customHeight="1" x14ac:dyDescent="0.3">
      <c r="A317" s="19"/>
      <c r="B317" s="19"/>
      <c r="C317" s="19"/>
      <c r="D317" s="19"/>
      <c r="E317" s="19"/>
      <c r="F317" s="19"/>
      <c r="G317" s="19"/>
    </row>
    <row r="318" spans="1:7" ht="15.75" customHeight="1" x14ac:dyDescent="0.3">
      <c r="A318" s="19"/>
      <c r="B318" s="19"/>
      <c r="C318" s="19"/>
      <c r="D318" s="19"/>
      <c r="E318" s="19"/>
      <c r="F318" s="19"/>
      <c r="G318" s="19"/>
    </row>
    <row r="319" spans="1:7" ht="15.75" customHeight="1" x14ac:dyDescent="0.3">
      <c r="A319" s="19"/>
      <c r="B319" s="19"/>
      <c r="C319" s="19"/>
      <c r="D319" s="19"/>
      <c r="E319" s="19"/>
      <c r="F319" s="19"/>
      <c r="G319" s="19"/>
    </row>
    <row r="320" spans="1:7" ht="15.75" customHeight="1" x14ac:dyDescent="0.3">
      <c r="A320" s="19"/>
      <c r="B320" s="19"/>
      <c r="C320" s="19"/>
      <c r="D320" s="19"/>
      <c r="E320" s="19"/>
      <c r="F320" s="19"/>
      <c r="G320" s="19"/>
    </row>
    <row r="321" spans="1:7" ht="15.75" customHeight="1" x14ac:dyDescent="0.3">
      <c r="A321" s="19"/>
      <c r="B321" s="19"/>
      <c r="C321" s="19"/>
      <c r="D321" s="19"/>
      <c r="E321" s="19"/>
      <c r="F321" s="19"/>
      <c r="G321" s="19"/>
    </row>
    <row r="322" spans="1:7" ht="15.75" customHeight="1" x14ac:dyDescent="0.3">
      <c r="A322" s="19"/>
      <c r="B322" s="19"/>
      <c r="C322" s="19"/>
      <c r="D322" s="19"/>
      <c r="E322" s="19"/>
      <c r="F322" s="19"/>
      <c r="G322" s="19"/>
    </row>
    <row r="323" spans="1:7" ht="15.75" customHeight="1" x14ac:dyDescent="0.3">
      <c r="A323" s="19"/>
      <c r="B323" s="19"/>
      <c r="C323" s="19"/>
      <c r="D323" s="19"/>
      <c r="E323" s="19"/>
      <c r="F323" s="19"/>
      <c r="G323" s="19"/>
    </row>
    <row r="324" spans="1:7" ht="15.75" customHeight="1" x14ac:dyDescent="0.3">
      <c r="A324" s="19"/>
      <c r="B324" s="19"/>
      <c r="C324" s="19"/>
      <c r="D324" s="19"/>
      <c r="E324" s="19"/>
      <c r="F324" s="19"/>
      <c r="G324" s="19"/>
    </row>
    <row r="325" spans="1:7" ht="15.75" customHeight="1" x14ac:dyDescent="0.3">
      <c r="A325" s="19"/>
      <c r="B325" s="19"/>
      <c r="C325" s="19"/>
      <c r="D325" s="19"/>
      <c r="E325" s="19"/>
      <c r="F325" s="19"/>
      <c r="G325" s="19"/>
    </row>
    <row r="326" spans="1:7" ht="15.75" customHeight="1" x14ac:dyDescent="0.3">
      <c r="A326" s="19"/>
      <c r="B326" s="19"/>
      <c r="C326" s="19"/>
      <c r="D326" s="19"/>
      <c r="E326" s="19"/>
      <c r="F326" s="19"/>
      <c r="G326" s="19"/>
    </row>
    <row r="327" spans="1:7" ht="15.75" customHeight="1" x14ac:dyDescent="0.3">
      <c r="A327" s="19"/>
      <c r="B327" s="19"/>
      <c r="C327" s="19"/>
      <c r="D327" s="19"/>
      <c r="E327" s="19"/>
      <c r="F327" s="19"/>
      <c r="G327" s="19"/>
    </row>
    <row r="328" spans="1:7" ht="15.75" customHeight="1" x14ac:dyDescent="0.3">
      <c r="A328" s="19"/>
      <c r="B328" s="19"/>
      <c r="C328" s="19"/>
      <c r="D328" s="19"/>
      <c r="E328" s="19"/>
      <c r="F328" s="19"/>
      <c r="G328" s="19"/>
    </row>
    <row r="329" spans="1:7" ht="15.75" customHeight="1" x14ac:dyDescent="0.3">
      <c r="A329" s="19"/>
      <c r="B329" s="19"/>
      <c r="C329" s="19"/>
      <c r="D329" s="19"/>
      <c r="E329" s="19"/>
      <c r="F329" s="19"/>
      <c r="G329" s="19"/>
    </row>
    <row r="330" spans="1:7" ht="15.75" customHeight="1" x14ac:dyDescent="0.3">
      <c r="A330" s="19"/>
      <c r="B330" s="19"/>
      <c r="C330" s="19"/>
      <c r="D330" s="19"/>
      <c r="E330" s="19"/>
      <c r="F330" s="19"/>
      <c r="G330" s="19"/>
    </row>
    <row r="331" spans="1:7" ht="15.75" customHeight="1" x14ac:dyDescent="0.3">
      <c r="A331" s="19"/>
      <c r="B331" s="19"/>
      <c r="C331" s="19"/>
      <c r="D331" s="19"/>
      <c r="E331" s="19"/>
      <c r="F331" s="19"/>
      <c r="G331" s="19"/>
    </row>
    <row r="332" spans="1:7" ht="15.75" customHeight="1" x14ac:dyDescent="0.3">
      <c r="A332" s="19"/>
      <c r="B332" s="19"/>
      <c r="C332" s="19"/>
      <c r="D332" s="19"/>
      <c r="E332" s="19"/>
      <c r="F332" s="19"/>
      <c r="G332" s="19"/>
    </row>
    <row r="333" spans="1:7" ht="15.75" customHeight="1" x14ac:dyDescent="0.3">
      <c r="A333" s="19"/>
      <c r="B333" s="19"/>
      <c r="C333" s="19"/>
      <c r="D333" s="19"/>
      <c r="E333" s="19"/>
      <c r="F333" s="19"/>
      <c r="G333" s="19"/>
    </row>
    <row r="334" spans="1:7" ht="15.75" customHeight="1" x14ac:dyDescent="0.3">
      <c r="A334" s="19"/>
      <c r="B334" s="19"/>
      <c r="C334" s="19"/>
      <c r="D334" s="19"/>
      <c r="E334" s="19"/>
      <c r="F334" s="19"/>
      <c r="G334" s="19"/>
    </row>
    <row r="335" spans="1:7" ht="15.75" customHeight="1" x14ac:dyDescent="0.3">
      <c r="A335" s="19"/>
      <c r="B335" s="19"/>
      <c r="C335" s="19"/>
      <c r="D335" s="19"/>
      <c r="E335" s="19"/>
      <c r="F335" s="19"/>
      <c r="G335" s="19"/>
    </row>
    <row r="336" spans="1:7" ht="15.75" customHeight="1" x14ac:dyDescent="0.3">
      <c r="A336" s="19"/>
      <c r="B336" s="19"/>
      <c r="C336" s="19"/>
      <c r="D336" s="19"/>
      <c r="E336" s="19"/>
      <c r="F336" s="19"/>
      <c r="G336" s="19"/>
    </row>
    <row r="337" spans="1:7" ht="15.75" customHeight="1" x14ac:dyDescent="0.3">
      <c r="A337" s="19"/>
      <c r="B337" s="19"/>
      <c r="C337" s="19"/>
      <c r="D337" s="19"/>
      <c r="E337" s="19"/>
      <c r="F337" s="19"/>
      <c r="G337" s="19"/>
    </row>
    <row r="338" spans="1:7" ht="15.75" customHeight="1" x14ac:dyDescent="0.3">
      <c r="A338" s="19"/>
      <c r="B338" s="19"/>
      <c r="C338" s="19"/>
      <c r="D338" s="19"/>
      <c r="E338" s="19"/>
      <c r="F338" s="19"/>
      <c r="G338" s="19"/>
    </row>
    <row r="339" spans="1:7" ht="15.75" customHeight="1" x14ac:dyDescent="0.3">
      <c r="A339" s="19"/>
      <c r="B339" s="19"/>
      <c r="C339" s="19"/>
      <c r="D339" s="19"/>
      <c r="E339" s="19"/>
      <c r="F339" s="19"/>
      <c r="G339" s="19"/>
    </row>
    <row r="340" spans="1:7" ht="15.75" customHeight="1" x14ac:dyDescent="0.3">
      <c r="A340" s="19"/>
      <c r="B340" s="19"/>
      <c r="C340" s="19"/>
      <c r="D340" s="19"/>
      <c r="E340" s="19"/>
      <c r="F340" s="19"/>
      <c r="G340" s="19"/>
    </row>
    <row r="341" spans="1:7" ht="15.75" customHeight="1" x14ac:dyDescent="0.3">
      <c r="A341" s="19"/>
      <c r="B341" s="19"/>
      <c r="C341" s="19"/>
      <c r="D341" s="19"/>
      <c r="E341" s="19"/>
      <c r="F341" s="19"/>
      <c r="G341" s="19"/>
    </row>
    <row r="342" spans="1:7" ht="15.75" customHeight="1" x14ac:dyDescent="0.3">
      <c r="A342" s="19"/>
      <c r="B342" s="19"/>
      <c r="C342" s="19"/>
      <c r="D342" s="19"/>
      <c r="E342" s="19"/>
      <c r="F342" s="19"/>
      <c r="G342" s="19"/>
    </row>
    <row r="343" spans="1:7" ht="15.75" customHeight="1" x14ac:dyDescent="0.3">
      <c r="A343" s="19"/>
      <c r="B343" s="19"/>
      <c r="C343" s="19"/>
      <c r="D343" s="19"/>
      <c r="E343" s="19"/>
      <c r="F343" s="19"/>
      <c r="G343" s="19"/>
    </row>
    <row r="344" spans="1:7" ht="15.75" customHeight="1" x14ac:dyDescent="0.3">
      <c r="A344" s="19"/>
      <c r="B344" s="19"/>
      <c r="C344" s="19"/>
      <c r="D344" s="19"/>
      <c r="E344" s="19"/>
      <c r="F344" s="19"/>
      <c r="G344" s="19"/>
    </row>
    <row r="345" spans="1:7" ht="15.75" customHeight="1" x14ac:dyDescent="0.3">
      <c r="A345" s="19"/>
      <c r="B345" s="19"/>
      <c r="C345" s="19"/>
      <c r="D345" s="19"/>
      <c r="E345" s="19"/>
      <c r="F345" s="19"/>
      <c r="G345" s="19"/>
    </row>
    <row r="346" spans="1:7" ht="15.75" customHeight="1" x14ac:dyDescent="0.3">
      <c r="A346" s="19"/>
      <c r="B346" s="19"/>
      <c r="C346" s="19"/>
      <c r="D346" s="19"/>
      <c r="E346" s="19"/>
      <c r="F346" s="19"/>
      <c r="G346" s="19"/>
    </row>
    <row r="347" spans="1:7" ht="15.75" customHeight="1" x14ac:dyDescent="0.3">
      <c r="A347" s="19"/>
      <c r="B347" s="19"/>
      <c r="C347" s="19"/>
      <c r="D347" s="19"/>
      <c r="E347" s="19"/>
      <c r="F347" s="19"/>
      <c r="G347" s="19"/>
    </row>
    <row r="348" spans="1:7" ht="15.75" customHeight="1" x14ac:dyDescent="0.3">
      <c r="A348" s="19"/>
      <c r="B348" s="19"/>
      <c r="C348" s="19"/>
      <c r="D348" s="19"/>
      <c r="E348" s="19"/>
      <c r="F348" s="19"/>
      <c r="G348" s="19"/>
    </row>
    <row r="349" spans="1:7" ht="15.75" customHeight="1" x14ac:dyDescent="0.3">
      <c r="A349" s="19"/>
      <c r="B349" s="19"/>
      <c r="C349" s="19"/>
      <c r="D349" s="19"/>
      <c r="E349" s="19"/>
      <c r="F349" s="19"/>
      <c r="G349" s="19"/>
    </row>
    <row r="350" spans="1:7" ht="15.75" customHeight="1" x14ac:dyDescent="0.3">
      <c r="A350" s="19"/>
      <c r="B350" s="19"/>
      <c r="C350" s="19"/>
      <c r="D350" s="19"/>
      <c r="E350" s="19"/>
      <c r="F350" s="19"/>
      <c r="G350" s="19"/>
    </row>
    <row r="351" spans="1:7" ht="15.75" customHeight="1" x14ac:dyDescent="0.3">
      <c r="A351" s="19"/>
      <c r="B351" s="19"/>
      <c r="C351" s="19"/>
      <c r="D351" s="19"/>
      <c r="E351" s="19"/>
      <c r="F351" s="19"/>
      <c r="G351" s="19"/>
    </row>
    <row r="352" spans="1:7" ht="15.75" customHeight="1" x14ac:dyDescent="0.3">
      <c r="A352" s="19"/>
      <c r="B352" s="19"/>
      <c r="C352" s="19"/>
      <c r="D352" s="19"/>
      <c r="E352" s="19"/>
      <c r="F352" s="19"/>
      <c r="G352" s="19"/>
    </row>
    <row r="353" spans="1:7" ht="15.75" customHeight="1" x14ac:dyDescent="0.3">
      <c r="A353" s="19"/>
      <c r="B353" s="19"/>
      <c r="C353" s="19"/>
      <c r="D353" s="19"/>
      <c r="E353" s="19"/>
      <c r="F353" s="19"/>
      <c r="G353" s="19"/>
    </row>
    <row r="354" spans="1:7" ht="15.75" customHeight="1" x14ac:dyDescent="0.3">
      <c r="A354" s="19"/>
      <c r="B354" s="19"/>
      <c r="C354" s="19"/>
      <c r="D354" s="19"/>
      <c r="E354" s="19"/>
      <c r="F354" s="19"/>
      <c r="G354" s="19"/>
    </row>
    <row r="355" spans="1:7" ht="15.75" customHeight="1" x14ac:dyDescent="0.3">
      <c r="A355" s="19"/>
      <c r="B355" s="19"/>
      <c r="C355" s="19"/>
      <c r="D355" s="19"/>
      <c r="E355" s="19"/>
      <c r="F355" s="19"/>
      <c r="G355" s="19"/>
    </row>
    <row r="356" spans="1:7" ht="15.75" customHeight="1" x14ac:dyDescent="0.3">
      <c r="A356" s="19"/>
      <c r="B356" s="19"/>
      <c r="C356" s="19"/>
      <c r="D356" s="19"/>
      <c r="E356" s="19"/>
      <c r="F356" s="19"/>
      <c r="G356" s="19"/>
    </row>
    <row r="357" spans="1:7" ht="15.75" customHeight="1" x14ac:dyDescent="0.3">
      <c r="A357" s="19"/>
      <c r="B357" s="19"/>
      <c r="C357" s="19"/>
      <c r="D357" s="19"/>
      <c r="E357" s="19"/>
      <c r="F357" s="19"/>
      <c r="G357" s="19"/>
    </row>
    <row r="358" spans="1:7" ht="15.75" customHeight="1" x14ac:dyDescent="0.3">
      <c r="A358" s="19"/>
      <c r="B358" s="19"/>
      <c r="C358" s="19"/>
      <c r="D358" s="19"/>
      <c r="E358" s="19"/>
      <c r="F358" s="19"/>
      <c r="G358" s="19"/>
    </row>
    <row r="359" spans="1:7" ht="15.75" customHeight="1" x14ac:dyDescent="0.3">
      <c r="A359" s="19"/>
      <c r="B359" s="19"/>
      <c r="C359" s="19"/>
      <c r="D359" s="19"/>
      <c r="E359" s="19"/>
      <c r="F359" s="19"/>
      <c r="G359" s="19"/>
    </row>
    <row r="360" spans="1:7" ht="15.75" customHeight="1" x14ac:dyDescent="0.3">
      <c r="A360" s="19"/>
      <c r="B360" s="19"/>
      <c r="C360" s="19"/>
      <c r="D360" s="19"/>
      <c r="E360" s="19"/>
      <c r="F360" s="19"/>
      <c r="G360" s="19"/>
    </row>
    <row r="361" spans="1:7" ht="15.75" customHeight="1" x14ac:dyDescent="0.3">
      <c r="A361" s="19"/>
      <c r="B361" s="19"/>
      <c r="C361" s="19"/>
      <c r="D361" s="19"/>
      <c r="E361" s="19"/>
      <c r="F361" s="19"/>
      <c r="G361" s="19"/>
    </row>
    <row r="362" spans="1:7" ht="15.75" customHeight="1" x14ac:dyDescent="0.3">
      <c r="A362" s="19"/>
      <c r="B362" s="19"/>
      <c r="C362" s="19"/>
      <c r="D362" s="19"/>
      <c r="E362" s="19"/>
      <c r="F362" s="19"/>
      <c r="G362" s="19"/>
    </row>
    <row r="363" spans="1:7" ht="15.75" customHeight="1" x14ac:dyDescent="0.3">
      <c r="A363" s="19"/>
      <c r="B363" s="19"/>
      <c r="C363" s="19"/>
      <c r="D363" s="19"/>
      <c r="E363" s="19"/>
      <c r="F363" s="19"/>
      <c r="G363" s="19"/>
    </row>
    <row r="364" spans="1:7" ht="15.75" customHeight="1" x14ac:dyDescent="0.3">
      <c r="A364" s="19"/>
      <c r="B364" s="19"/>
      <c r="C364" s="19"/>
      <c r="D364" s="19"/>
      <c r="E364" s="19"/>
      <c r="F364" s="19"/>
      <c r="G364" s="19"/>
    </row>
    <row r="365" spans="1:7" ht="15.75" customHeight="1" x14ac:dyDescent="0.3">
      <c r="A365" s="19"/>
      <c r="B365" s="19"/>
      <c r="C365" s="19"/>
      <c r="D365" s="19"/>
      <c r="E365" s="19"/>
      <c r="F365" s="19"/>
      <c r="G365" s="19"/>
    </row>
    <row r="366" spans="1:7" ht="15.75" customHeight="1" x14ac:dyDescent="0.3">
      <c r="A366" s="19"/>
      <c r="B366" s="19"/>
      <c r="C366" s="19"/>
      <c r="D366" s="19"/>
      <c r="E366" s="19"/>
      <c r="F366" s="19"/>
      <c r="G366" s="19"/>
    </row>
    <row r="367" spans="1:7" ht="15.75" customHeight="1" x14ac:dyDescent="0.3">
      <c r="A367" s="19"/>
      <c r="B367" s="19"/>
      <c r="C367" s="19"/>
      <c r="D367" s="19"/>
      <c r="E367" s="19"/>
      <c r="F367" s="19"/>
      <c r="G367" s="19"/>
    </row>
    <row r="368" spans="1:7" ht="15.75" customHeight="1" x14ac:dyDescent="0.3">
      <c r="A368" s="19"/>
      <c r="B368" s="19"/>
      <c r="C368" s="19"/>
      <c r="D368" s="19"/>
      <c r="E368" s="19"/>
      <c r="F368" s="19"/>
      <c r="G368" s="19"/>
    </row>
    <row r="369" spans="1:7" ht="15.75" customHeight="1" x14ac:dyDescent="0.3">
      <c r="A369" s="19"/>
      <c r="B369" s="19"/>
      <c r="C369" s="19"/>
      <c r="D369" s="19"/>
      <c r="E369" s="19"/>
      <c r="F369" s="19"/>
      <c r="G369" s="19"/>
    </row>
    <row r="370" spans="1:7" ht="15.75" customHeight="1" x14ac:dyDescent="0.3">
      <c r="A370" s="19"/>
      <c r="B370" s="19"/>
      <c r="C370" s="19"/>
      <c r="D370" s="19"/>
      <c r="E370" s="19"/>
      <c r="F370" s="19"/>
      <c r="G370" s="19"/>
    </row>
    <row r="371" spans="1:7" ht="15.75" customHeight="1" x14ac:dyDescent="0.3">
      <c r="A371" s="19"/>
      <c r="B371" s="19"/>
      <c r="C371" s="19"/>
      <c r="D371" s="19"/>
      <c r="E371" s="19"/>
      <c r="F371" s="19"/>
      <c r="G371" s="19"/>
    </row>
    <row r="372" spans="1:7" ht="15.75" customHeight="1" x14ac:dyDescent="0.3">
      <c r="A372" s="19"/>
      <c r="B372" s="19"/>
      <c r="C372" s="19"/>
      <c r="D372" s="19"/>
      <c r="E372" s="19"/>
      <c r="F372" s="19"/>
      <c r="G372" s="19"/>
    </row>
    <row r="373" spans="1:7" ht="15.75" customHeight="1" x14ac:dyDescent="0.3">
      <c r="A373" s="19"/>
      <c r="B373" s="19"/>
      <c r="C373" s="19"/>
      <c r="D373" s="19"/>
      <c r="E373" s="19"/>
      <c r="F373" s="19"/>
      <c r="G373" s="19"/>
    </row>
    <row r="374" spans="1:7" ht="15.75" customHeight="1" x14ac:dyDescent="0.3">
      <c r="A374" s="19"/>
      <c r="B374" s="19"/>
      <c r="C374" s="19"/>
      <c r="D374" s="19"/>
      <c r="E374" s="19"/>
      <c r="F374" s="19"/>
      <c r="G374" s="19"/>
    </row>
    <row r="375" spans="1:7" ht="15.75" customHeight="1" x14ac:dyDescent="0.3">
      <c r="A375" s="19"/>
      <c r="B375" s="19"/>
      <c r="C375" s="19"/>
      <c r="D375" s="19"/>
      <c r="E375" s="19"/>
      <c r="F375" s="19"/>
      <c r="G375" s="19"/>
    </row>
    <row r="376" spans="1:7" ht="15.75" customHeight="1" x14ac:dyDescent="0.3">
      <c r="A376" s="19"/>
      <c r="B376" s="19"/>
      <c r="C376" s="19"/>
      <c r="D376" s="19"/>
      <c r="E376" s="19"/>
      <c r="F376" s="19"/>
      <c r="G376" s="19"/>
    </row>
    <row r="377" spans="1:7" ht="15.75" customHeight="1" x14ac:dyDescent="0.3">
      <c r="A377" s="19"/>
      <c r="B377" s="19"/>
      <c r="C377" s="19"/>
      <c r="D377" s="19"/>
      <c r="E377" s="19"/>
      <c r="F377" s="19"/>
      <c r="G377" s="19"/>
    </row>
    <row r="378" spans="1:7" ht="15.75" customHeight="1" x14ac:dyDescent="0.3">
      <c r="A378" s="19"/>
      <c r="B378" s="19"/>
      <c r="C378" s="19"/>
      <c r="D378" s="19"/>
      <c r="E378" s="19"/>
      <c r="F378" s="19"/>
      <c r="G378" s="19"/>
    </row>
    <row r="379" spans="1:7" ht="15.75" customHeight="1" x14ac:dyDescent="0.3">
      <c r="A379" s="19"/>
      <c r="B379" s="19"/>
      <c r="C379" s="19"/>
      <c r="D379" s="19"/>
      <c r="E379" s="19"/>
      <c r="F379" s="19"/>
      <c r="G379" s="19"/>
    </row>
    <row r="380" spans="1:7" ht="15.75" customHeight="1" x14ac:dyDescent="0.3">
      <c r="A380" s="19"/>
      <c r="B380" s="19"/>
      <c r="C380" s="19"/>
      <c r="D380" s="19"/>
      <c r="E380" s="19"/>
      <c r="F380" s="19"/>
      <c r="G380" s="19"/>
    </row>
    <row r="381" spans="1:7" ht="15.75" customHeight="1" x14ac:dyDescent="0.3">
      <c r="A381" s="19"/>
      <c r="B381" s="19"/>
      <c r="C381" s="19"/>
      <c r="D381" s="19"/>
      <c r="E381" s="19"/>
      <c r="F381" s="19"/>
      <c r="G381" s="19"/>
    </row>
    <row r="382" spans="1:7" ht="15.75" customHeight="1" x14ac:dyDescent="0.3">
      <c r="A382" s="19"/>
      <c r="B382" s="19"/>
      <c r="C382" s="19"/>
      <c r="D382" s="19"/>
      <c r="E382" s="19"/>
      <c r="F382" s="19"/>
      <c r="G382" s="19"/>
    </row>
    <row r="383" spans="1:7" ht="15.75" customHeight="1" x14ac:dyDescent="0.3">
      <c r="A383" s="19"/>
      <c r="B383" s="19"/>
      <c r="C383" s="19"/>
      <c r="D383" s="19"/>
      <c r="E383" s="19"/>
      <c r="F383" s="19"/>
      <c r="G383" s="19"/>
    </row>
    <row r="384" spans="1:7" ht="15.75" customHeight="1" x14ac:dyDescent="0.3">
      <c r="A384" s="19"/>
      <c r="B384" s="19"/>
      <c r="C384" s="19"/>
      <c r="D384" s="19"/>
      <c r="E384" s="19"/>
      <c r="F384" s="19"/>
      <c r="G384" s="19"/>
    </row>
    <row r="385" spans="1:7" ht="15.75" customHeight="1" x14ac:dyDescent="0.3">
      <c r="A385" s="19"/>
      <c r="B385" s="19"/>
      <c r="C385" s="19"/>
      <c r="D385" s="19"/>
      <c r="E385" s="19"/>
      <c r="F385" s="19"/>
      <c r="G385" s="19"/>
    </row>
    <row r="386" spans="1:7" ht="15.75" customHeight="1" x14ac:dyDescent="0.3">
      <c r="A386" s="19"/>
      <c r="B386" s="19"/>
      <c r="C386" s="19"/>
      <c r="D386" s="19"/>
      <c r="E386" s="19"/>
      <c r="F386" s="19"/>
      <c r="G386" s="19"/>
    </row>
    <row r="387" spans="1:7" ht="15.75" customHeight="1" x14ac:dyDescent="0.3">
      <c r="A387" s="19"/>
      <c r="B387" s="19"/>
      <c r="C387" s="19"/>
      <c r="D387" s="19"/>
      <c r="E387" s="19"/>
      <c r="F387" s="19"/>
      <c r="G387" s="19"/>
    </row>
    <row r="388" spans="1:7" ht="15.75" customHeight="1" x14ac:dyDescent="0.3">
      <c r="A388" s="19"/>
      <c r="B388" s="19"/>
      <c r="C388" s="19"/>
      <c r="D388" s="19"/>
      <c r="E388" s="19"/>
      <c r="F388" s="19"/>
      <c r="G388" s="19"/>
    </row>
    <row r="389" spans="1:7" ht="15.75" customHeight="1" x14ac:dyDescent="0.3">
      <c r="A389" s="19"/>
      <c r="B389" s="19"/>
      <c r="C389" s="19"/>
      <c r="D389" s="19"/>
      <c r="E389" s="19"/>
      <c r="F389" s="19"/>
      <c r="G389" s="19"/>
    </row>
    <row r="390" spans="1:7" ht="15.75" customHeight="1" x14ac:dyDescent="0.3">
      <c r="A390" s="19"/>
      <c r="B390" s="19"/>
      <c r="C390" s="19"/>
      <c r="D390" s="19"/>
      <c r="E390" s="19"/>
      <c r="F390" s="19"/>
      <c r="G390" s="19"/>
    </row>
    <row r="391" spans="1:7" ht="15.75" customHeight="1" x14ac:dyDescent="0.3">
      <c r="A391" s="19"/>
      <c r="B391" s="19"/>
      <c r="C391" s="19"/>
      <c r="D391" s="19"/>
      <c r="E391" s="19"/>
      <c r="F391" s="19"/>
      <c r="G391" s="19"/>
    </row>
    <row r="392" spans="1:7" ht="15.75" customHeight="1" x14ac:dyDescent="0.3">
      <c r="A392" s="19"/>
      <c r="B392" s="19"/>
      <c r="C392" s="19"/>
      <c r="D392" s="19"/>
      <c r="E392" s="19"/>
      <c r="F392" s="19"/>
      <c r="G392" s="19"/>
    </row>
    <row r="393" spans="1:7" ht="15.75" customHeight="1" x14ac:dyDescent="0.3">
      <c r="A393" s="19"/>
      <c r="B393" s="19"/>
      <c r="C393" s="19"/>
      <c r="D393" s="19"/>
      <c r="E393" s="19"/>
      <c r="F393" s="19"/>
      <c r="G393" s="19"/>
    </row>
    <row r="394" spans="1:7" ht="15.75" customHeight="1" x14ac:dyDescent="0.3">
      <c r="A394" s="19"/>
      <c r="B394" s="19"/>
      <c r="C394" s="19"/>
      <c r="D394" s="19"/>
      <c r="E394" s="19"/>
      <c r="F394" s="19"/>
      <c r="G394" s="19"/>
    </row>
    <row r="395" spans="1:7" ht="15.75" customHeight="1" x14ac:dyDescent="0.3">
      <c r="A395" s="19"/>
      <c r="B395" s="19"/>
      <c r="C395" s="19"/>
      <c r="D395" s="19"/>
      <c r="E395" s="19"/>
      <c r="F395" s="19"/>
      <c r="G395" s="19"/>
    </row>
    <row r="396" spans="1:7" ht="15.75" customHeight="1" x14ac:dyDescent="0.3">
      <c r="A396" s="19"/>
      <c r="B396" s="19"/>
      <c r="C396" s="19"/>
      <c r="D396" s="19"/>
      <c r="E396" s="19"/>
      <c r="F396" s="19"/>
      <c r="G396" s="19"/>
    </row>
    <row r="397" spans="1:7" ht="15.75" customHeight="1" x14ac:dyDescent="0.3">
      <c r="A397" s="19"/>
      <c r="B397" s="19"/>
      <c r="C397" s="19"/>
      <c r="D397" s="19"/>
      <c r="E397" s="19"/>
      <c r="F397" s="19"/>
      <c r="G397" s="19"/>
    </row>
    <row r="398" spans="1:7" ht="15.75" customHeight="1" x14ac:dyDescent="0.3">
      <c r="A398" s="19"/>
      <c r="B398" s="19"/>
      <c r="C398" s="19"/>
      <c r="D398" s="19"/>
      <c r="E398" s="19"/>
      <c r="F398" s="19"/>
      <c r="G398" s="19"/>
    </row>
    <row r="399" spans="1:7" ht="15.75" customHeight="1" x14ac:dyDescent="0.3">
      <c r="A399" s="19"/>
      <c r="B399" s="19"/>
      <c r="C399" s="19"/>
      <c r="D399" s="19"/>
      <c r="E399" s="19"/>
      <c r="F399" s="19"/>
      <c r="G399" s="19"/>
    </row>
    <row r="400" spans="1:7" ht="15.75" customHeight="1" x14ac:dyDescent="0.3">
      <c r="A400" s="19"/>
      <c r="B400" s="19"/>
      <c r="C400" s="19"/>
      <c r="D400" s="19"/>
      <c r="E400" s="19"/>
      <c r="F400" s="19"/>
      <c r="G400" s="19"/>
    </row>
    <row r="401" spans="1:7" ht="15.75" customHeight="1" x14ac:dyDescent="0.3">
      <c r="A401" s="19"/>
      <c r="B401" s="19"/>
      <c r="C401" s="19"/>
      <c r="D401" s="19"/>
      <c r="E401" s="19"/>
      <c r="F401" s="19"/>
      <c r="G401" s="19"/>
    </row>
    <row r="402" spans="1:7" ht="15.75" customHeight="1" x14ac:dyDescent="0.3">
      <c r="A402" s="19"/>
      <c r="B402" s="19"/>
      <c r="C402" s="19"/>
      <c r="D402" s="19"/>
      <c r="E402" s="19"/>
      <c r="F402" s="19"/>
      <c r="G402" s="19"/>
    </row>
    <row r="403" spans="1:7" ht="15.75" customHeight="1" x14ac:dyDescent="0.3">
      <c r="A403" s="19"/>
      <c r="B403" s="19"/>
      <c r="C403" s="19"/>
      <c r="D403" s="19"/>
      <c r="E403" s="19"/>
      <c r="F403" s="19"/>
      <c r="G403" s="19"/>
    </row>
    <row r="404" spans="1:7" ht="15.75" customHeight="1" x14ac:dyDescent="0.3">
      <c r="A404" s="19"/>
      <c r="B404" s="19"/>
      <c r="C404" s="19"/>
      <c r="D404" s="19"/>
      <c r="E404" s="19"/>
      <c r="F404" s="19"/>
      <c r="G404" s="19"/>
    </row>
    <row r="405" spans="1:7" ht="15.75" customHeight="1" x14ac:dyDescent="0.3">
      <c r="A405" s="19"/>
      <c r="B405" s="19"/>
      <c r="C405" s="19"/>
      <c r="D405" s="19"/>
      <c r="E405" s="19"/>
      <c r="F405" s="19"/>
      <c r="G405" s="19"/>
    </row>
    <row r="406" spans="1:7" ht="15.75" customHeight="1" x14ac:dyDescent="0.3">
      <c r="A406" s="19"/>
      <c r="B406" s="19"/>
      <c r="C406" s="19"/>
      <c r="D406" s="19"/>
      <c r="E406" s="19"/>
      <c r="F406" s="19"/>
      <c r="G406" s="19"/>
    </row>
    <row r="407" spans="1:7" ht="15.75" customHeight="1" x14ac:dyDescent="0.3">
      <c r="A407" s="19"/>
      <c r="B407" s="19"/>
      <c r="C407" s="19"/>
      <c r="D407" s="19"/>
      <c r="E407" s="19"/>
      <c r="F407" s="19"/>
      <c r="G407" s="19"/>
    </row>
    <row r="408" spans="1:7" ht="15.75" customHeight="1" x14ac:dyDescent="0.3">
      <c r="A408" s="19"/>
      <c r="B408" s="19"/>
      <c r="C408" s="19"/>
      <c r="D408" s="19"/>
      <c r="E408" s="19"/>
      <c r="F408" s="19"/>
      <c r="G408" s="19"/>
    </row>
    <row r="409" spans="1:7" ht="15.75" customHeight="1" x14ac:dyDescent="0.3">
      <c r="A409" s="19"/>
      <c r="B409" s="19"/>
      <c r="C409" s="19"/>
      <c r="D409" s="19"/>
      <c r="E409" s="19"/>
      <c r="F409" s="19"/>
      <c r="G409" s="19"/>
    </row>
    <row r="410" spans="1:7" ht="15.75" customHeight="1" x14ac:dyDescent="0.3">
      <c r="A410" s="19"/>
      <c r="B410" s="19"/>
      <c r="C410" s="19"/>
      <c r="D410" s="19"/>
      <c r="E410" s="19"/>
      <c r="F410" s="19"/>
      <c r="G410" s="19"/>
    </row>
    <row r="411" spans="1:7" ht="15.75" customHeight="1" x14ac:dyDescent="0.3">
      <c r="A411" s="19"/>
      <c r="B411" s="19"/>
      <c r="C411" s="19"/>
      <c r="D411" s="19"/>
      <c r="E411" s="19"/>
      <c r="F411" s="19"/>
      <c r="G411" s="19"/>
    </row>
    <row r="412" spans="1:7" ht="15.75" customHeight="1" x14ac:dyDescent="0.3">
      <c r="A412" s="19"/>
      <c r="B412" s="19"/>
      <c r="C412" s="19"/>
      <c r="D412" s="19"/>
      <c r="E412" s="19"/>
      <c r="F412" s="19"/>
      <c r="G412" s="19"/>
    </row>
    <row r="413" spans="1:7" ht="15.75" customHeight="1" x14ac:dyDescent="0.3">
      <c r="A413" s="19"/>
      <c r="B413" s="19"/>
      <c r="C413" s="19"/>
      <c r="D413" s="19"/>
      <c r="E413" s="19"/>
      <c r="F413" s="19"/>
      <c r="G413" s="19"/>
    </row>
    <row r="414" spans="1:7" ht="15.75" customHeight="1" x14ac:dyDescent="0.3">
      <c r="A414" s="19"/>
      <c r="B414" s="19"/>
      <c r="C414" s="19"/>
      <c r="D414" s="19"/>
      <c r="E414" s="19"/>
      <c r="F414" s="19"/>
      <c r="G414" s="19"/>
    </row>
    <row r="415" spans="1:7" ht="15.75" customHeight="1" x14ac:dyDescent="0.3">
      <c r="A415" s="19"/>
      <c r="B415" s="19"/>
      <c r="C415" s="19"/>
      <c r="D415" s="19"/>
      <c r="E415" s="19"/>
      <c r="F415" s="19"/>
      <c r="G415" s="19"/>
    </row>
    <row r="416" spans="1:7" ht="15.75" customHeight="1" x14ac:dyDescent="0.3">
      <c r="A416" s="19"/>
      <c r="B416" s="19"/>
      <c r="C416" s="19"/>
      <c r="D416" s="19"/>
      <c r="E416" s="19"/>
      <c r="F416" s="19"/>
      <c r="G416" s="19"/>
    </row>
    <row r="417" spans="1:7" ht="15.75" customHeight="1" x14ac:dyDescent="0.3">
      <c r="A417" s="19"/>
      <c r="B417" s="19"/>
      <c r="C417" s="19"/>
      <c r="D417" s="19"/>
      <c r="E417" s="19"/>
      <c r="F417" s="19"/>
      <c r="G417" s="19"/>
    </row>
    <row r="418" spans="1:7" ht="15.75" customHeight="1" x14ac:dyDescent="0.3">
      <c r="A418" s="19"/>
      <c r="B418" s="19"/>
      <c r="C418" s="19"/>
      <c r="D418" s="19"/>
      <c r="E418" s="19"/>
      <c r="F418" s="19"/>
      <c r="G418" s="19"/>
    </row>
    <row r="419" spans="1:7" ht="15.75" customHeight="1" x14ac:dyDescent="0.3">
      <c r="A419" s="19"/>
      <c r="B419" s="19"/>
      <c r="C419" s="19"/>
      <c r="D419" s="19"/>
      <c r="E419" s="19"/>
      <c r="F419" s="19"/>
      <c r="G419" s="19"/>
    </row>
    <row r="420" spans="1:7" ht="15.75" customHeight="1" x14ac:dyDescent="0.3">
      <c r="A420" s="19"/>
      <c r="B420" s="19"/>
      <c r="C420" s="19"/>
      <c r="D420" s="19"/>
      <c r="E420" s="19"/>
      <c r="F420" s="19"/>
      <c r="G420" s="19"/>
    </row>
    <row r="421" spans="1:7" ht="15.75" customHeight="1" x14ac:dyDescent="0.3">
      <c r="A421" s="19"/>
      <c r="B421" s="19"/>
      <c r="C421" s="19"/>
      <c r="D421" s="19"/>
      <c r="E421" s="19"/>
      <c r="F421" s="19"/>
      <c r="G421" s="19"/>
    </row>
    <row r="422" spans="1:7" ht="15.75" customHeight="1" x14ac:dyDescent="0.3">
      <c r="A422" s="19"/>
      <c r="B422" s="19"/>
      <c r="C422" s="19"/>
      <c r="D422" s="19"/>
      <c r="E422" s="19"/>
      <c r="F422" s="19"/>
      <c r="G422" s="19"/>
    </row>
    <row r="423" spans="1:7" ht="15.75" customHeight="1" x14ac:dyDescent="0.3">
      <c r="A423" s="19"/>
      <c r="B423" s="19"/>
      <c r="C423" s="19"/>
      <c r="D423" s="19"/>
      <c r="E423" s="19"/>
      <c r="F423" s="19"/>
      <c r="G423" s="19"/>
    </row>
    <row r="424" spans="1:7" ht="15.75" customHeight="1" x14ac:dyDescent="0.3">
      <c r="A424" s="19"/>
      <c r="B424" s="19"/>
      <c r="C424" s="19"/>
      <c r="D424" s="19"/>
      <c r="E424" s="19"/>
      <c r="F424" s="19"/>
      <c r="G424" s="19"/>
    </row>
    <row r="425" spans="1:7" ht="15.75" customHeight="1" x14ac:dyDescent="0.3">
      <c r="A425" s="19"/>
      <c r="B425" s="19"/>
      <c r="C425" s="19"/>
      <c r="D425" s="19"/>
      <c r="E425" s="19"/>
      <c r="F425" s="19"/>
      <c r="G425" s="19"/>
    </row>
    <row r="426" spans="1:7" ht="15.75" customHeight="1" x14ac:dyDescent="0.3">
      <c r="A426" s="19"/>
      <c r="B426" s="19"/>
      <c r="C426" s="19"/>
      <c r="D426" s="19"/>
      <c r="E426" s="19"/>
      <c r="F426" s="19"/>
      <c r="G426" s="19"/>
    </row>
    <row r="427" spans="1:7" ht="15.75" customHeight="1" x14ac:dyDescent="0.3">
      <c r="A427" s="19"/>
      <c r="B427" s="19"/>
      <c r="C427" s="19"/>
      <c r="D427" s="19"/>
      <c r="E427" s="19"/>
      <c r="F427" s="19"/>
      <c r="G427" s="19"/>
    </row>
    <row r="428" spans="1:7" ht="15.75" customHeight="1" x14ac:dyDescent="0.3">
      <c r="A428" s="19"/>
      <c r="B428" s="19"/>
      <c r="C428" s="19"/>
      <c r="D428" s="19"/>
      <c r="E428" s="19"/>
      <c r="F428" s="19"/>
      <c r="G428" s="19"/>
    </row>
    <row r="429" spans="1:7" ht="15.75" customHeight="1" x14ac:dyDescent="0.3">
      <c r="A429" s="19"/>
      <c r="B429" s="19"/>
      <c r="C429" s="19"/>
      <c r="D429" s="19"/>
      <c r="E429" s="19"/>
      <c r="F429" s="19"/>
      <c r="G429" s="19"/>
    </row>
    <row r="430" spans="1:7" ht="15.75" customHeight="1" x14ac:dyDescent="0.3">
      <c r="A430" s="19"/>
      <c r="B430" s="19"/>
      <c r="C430" s="19"/>
      <c r="D430" s="19"/>
      <c r="E430" s="19"/>
      <c r="F430" s="19"/>
      <c r="G430" s="19"/>
    </row>
    <row r="431" spans="1:7" ht="15.75" customHeight="1" x14ac:dyDescent="0.3">
      <c r="A431" s="19"/>
      <c r="B431" s="19"/>
      <c r="C431" s="19"/>
      <c r="D431" s="19"/>
      <c r="E431" s="19"/>
      <c r="F431" s="19"/>
      <c r="G431" s="19"/>
    </row>
    <row r="432" spans="1:7" ht="15.75" customHeight="1" x14ac:dyDescent="0.3">
      <c r="A432" s="19"/>
      <c r="B432" s="19"/>
      <c r="C432" s="19"/>
      <c r="D432" s="19"/>
      <c r="E432" s="19"/>
      <c r="F432" s="19"/>
      <c r="G432" s="19"/>
    </row>
    <row r="433" spans="1:7" ht="15.75" customHeight="1" x14ac:dyDescent="0.3">
      <c r="A433" s="19"/>
      <c r="B433" s="19"/>
      <c r="C433" s="19"/>
      <c r="D433" s="19"/>
      <c r="E433" s="19"/>
      <c r="F433" s="19"/>
      <c r="G433" s="19"/>
    </row>
    <row r="434" spans="1:7" ht="15.75" customHeight="1" x14ac:dyDescent="0.3">
      <c r="A434" s="19"/>
      <c r="B434" s="19"/>
      <c r="C434" s="19"/>
      <c r="D434" s="19"/>
      <c r="E434" s="19"/>
      <c r="F434" s="19"/>
      <c r="G434" s="19"/>
    </row>
    <row r="435" spans="1:7" ht="15.75" customHeight="1" x14ac:dyDescent="0.3">
      <c r="A435" s="19"/>
      <c r="B435" s="19"/>
      <c r="C435" s="19"/>
      <c r="D435" s="19"/>
      <c r="E435" s="19"/>
      <c r="F435" s="19"/>
      <c r="G435" s="19"/>
    </row>
    <row r="436" spans="1:7" ht="15.75" customHeight="1" x14ac:dyDescent="0.3">
      <c r="A436" s="19"/>
      <c r="B436" s="19"/>
      <c r="C436" s="19"/>
      <c r="D436" s="19"/>
      <c r="E436" s="19"/>
      <c r="F436" s="19"/>
      <c r="G436" s="19"/>
    </row>
    <row r="437" spans="1:7" ht="15.75" customHeight="1" x14ac:dyDescent="0.3">
      <c r="A437" s="19"/>
      <c r="B437" s="19"/>
      <c r="C437" s="19"/>
      <c r="D437" s="19"/>
      <c r="E437" s="19"/>
      <c r="F437" s="19"/>
      <c r="G437" s="19"/>
    </row>
    <row r="438" spans="1:7" ht="15.75" customHeight="1" x14ac:dyDescent="0.3">
      <c r="A438" s="19"/>
      <c r="B438" s="19"/>
      <c r="C438" s="19"/>
      <c r="D438" s="19"/>
      <c r="E438" s="19"/>
      <c r="F438" s="19"/>
      <c r="G438" s="19"/>
    </row>
    <row r="439" spans="1:7" ht="15.75" customHeight="1" x14ac:dyDescent="0.3">
      <c r="A439" s="19"/>
      <c r="B439" s="19"/>
      <c r="C439" s="19"/>
      <c r="D439" s="19"/>
      <c r="E439" s="19"/>
      <c r="F439" s="19"/>
      <c r="G439" s="19"/>
    </row>
    <row r="440" spans="1:7" ht="15.75" customHeight="1" x14ac:dyDescent="0.3">
      <c r="A440" s="19"/>
      <c r="B440" s="19"/>
      <c r="C440" s="19"/>
      <c r="D440" s="19"/>
      <c r="E440" s="19"/>
      <c r="F440" s="19"/>
      <c r="G440" s="19"/>
    </row>
    <row r="441" spans="1:7" ht="15.75" customHeight="1" x14ac:dyDescent="0.3">
      <c r="A441" s="19"/>
      <c r="B441" s="19"/>
      <c r="C441" s="19"/>
      <c r="D441" s="19"/>
      <c r="E441" s="19"/>
      <c r="F441" s="19"/>
      <c r="G441" s="19"/>
    </row>
    <row r="442" spans="1:7" ht="15.75" customHeight="1" x14ac:dyDescent="0.3">
      <c r="A442" s="19"/>
      <c r="B442" s="19"/>
      <c r="C442" s="19"/>
      <c r="D442" s="19"/>
      <c r="E442" s="19"/>
      <c r="F442" s="19"/>
      <c r="G442" s="19"/>
    </row>
    <row r="443" spans="1:7" ht="15.75" customHeight="1" x14ac:dyDescent="0.3">
      <c r="A443" s="19"/>
      <c r="B443" s="19"/>
      <c r="C443" s="19"/>
      <c r="D443" s="19"/>
      <c r="E443" s="19"/>
      <c r="F443" s="19"/>
      <c r="G443" s="19"/>
    </row>
    <row r="444" spans="1:7" ht="15.75" customHeight="1" x14ac:dyDescent="0.3">
      <c r="A444" s="19"/>
      <c r="B444" s="19"/>
      <c r="C444" s="19"/>
      <c r="D444" s="19"/>
      <c r="E444" s="19"/>
      <c r="F444" s="19"/>
      <c r="G444" s="19"/>
    </row>
    <row r="445" spans="1:7" ht="15.75" customHeight="1" x14ac:dyDescent="0.3">
      <c r="A445" s="19"/>
      <c r="B445" s="19"/>
      <c r="C445" s="19"/>
      <c r="D445" s="19"/>
      <c r="E445" s="19"/>
      <c r="F445" s="19"/>
      <c r="G445" s="19"/>
    </row>
    <row r="446" spans="1:7" ht="15.75" customHeight="1" x14ac:dyDescent="0.3">
      <c r="A446" s="19"/>
      <c r="B446" s="19"/>
      <c r="C446" s="19"/>
      <c r="D446" s="19"/>
      <c r="E446" s="19"/>
      <c r="F446" s="19"/>
      <c r="G446" s="19"/>
    </row>
    <row r="447" spans="1:7" ht="15.75" customHeight="1" x14ac:dyDescent="0.3">
      <c r="A447" s="19"/>
      <c r="B447" s="19"/>
      <c r="C447" s="19"/>
      <c r="D447" s="19"/>
      <c r="E447" s="19"/>
      <c r="F447" s="19"/>
      <c r="G447" s="19"/>
    </row>
    <row r="448" spans="1:7" ht="15.75" customHeight="1" x14ac:dyDescent="0.3">
      <c r="A448" s="19"/>
      <c r="B448" s="19"/>
      <c r="C448" s="19"/>
      <c r="D448" s="19"/>
      <c r="E448" s="19"/>
      <c r="F448" s="19"/>
      <c r="G448" s="19"/>
    </row>
    <row r="449" spans="1:7" ht="15.75" customHeight="1" x14ac:dyDescent="0.3">
      <c r="A449" s="19"/>
      <c r="B449" s="19"/>
      <c r="C449" s="19"/>
      <c r="D449" s="19"/>
      <c r="E449" s="19"/>
      <c r="F449" s="19"/>
      <c r="G449" s="19"/>
    </row>
    <row r="450" spans="1:7" ht="15.75" customHeight="1" x14ac:dyDescent="0.3">
      <c r="A450" s="19"/>
      <c r="B450" s="19"/>
      <c r="C450" s="19"/>
      <c r="D450" s="19"/>
      <c r="E450" s="19"/>
      <c r="F450" s="19"/>
      <c r="G450" s="19"/>
    </row>
    <row r="451" spans="1:7" ht="15.75" customHeight="1" x14ac:dyDescent="0.3">
      <c r="A451" s="19"/>
      <c r="B451" s="19"/>
      <c r="C451" s="19"/>
      <c r="D451" s="19"/>
      <c r="E451" s="19"/>
      <c r="F451" s="19"/>
      <c r="G451" s="19"/>
    </row>
    <row r="452" spans="1:7" ht="15.75" customHeight="1" x14ac:dyDescent="0.3">
      <c r="A452" s="19"/>
      <c r="B452" s="19"/>
      <c r="C452" s="19"/>
      <c r="D452" s="19"/>
      <c r="E452" s="19"/>
      <c r="F452" s="19"/>
      <c r="G452" s="19"/>
    </row>
    <row r="453" spans="1:7" ht="15.75" customHeight="1" x14ac:dyDescent="0.3">
      <c r="A453" s="19"/>
      <c r="B453" s="19"/>
      <c r="C453" s="19"/>
      <c r="D453" s="19"/>
      <c r="E453" s="19"/>
      <c r="F453" s="19"/>
      <c r="G453" s="19"/>
    </row>
    <row r="454" spans="1:7" ht="15.75" customHeight="1" x14ac:dyDescent="0.3">
      <c r="A454" s="19"/>
      <c r="B454" s="19"/>
      <c r="C454" s="19"/>
      <c r="D454" s="19"/>
      <c r="E454" s="19"/>
      <c r="F454" s="19"/>
      <c r="G454" s="19"/>
    </row>
    <row r="455" spans="1:7" ht="15.75" customHeight="1" x14ac:dyDescent="0.3">
      <c r="A455" s="19"/>
      <c r="B455" s="19"/>
      <c r="C455" s="19"/>
      <c r="D455" s="19"/>
      <c r="E455" s="19"/>
      <c r="F455" s="19"/>
      <c r="G455" s="19"/>
    </row>
    <row r="456" spans="1:7" ht="15.75" customHeight="1" x14ac:dyDescent="0.3">
      <c r="A456" s="19"/>
      <c r="B456" s="19"/>
      <c r="C456" s="19"/>
      <c r="D456" s="19"/>
      <c r="E456" s="19"/>
      <c r="F456" s="19"/>
      <c r="G456" s="19"/>
    </row>
    <row r="457" spans="1:7" ht="15.75" customHeight="1" x14ac:dyDescent="0.3">
      <c r="A457" s="19"/>
      <c r="B457" s="19"/>
      <c r="C457" s="19"/>
      <c r="D457" s="19"/>
      <c r="E457" s="19"/>
      <c r="F457" s="19"/>
      <c r="G457" s="19"/>
    </row>
    <row r="458" spans="1:7" ht="15.75" customHeight="1" x14ac:dyDescent="0.3">
      <c r="A458" s="19"/>
      <c r="B458" s="19"/>
      <c r="C458" s="19"/>
      <c r="D458" s="19"/>
      <c r="E458" s="19"/>
      <c r="F458" s="19"/>
      <c r="G458" s="19"/>
    </row>
    <row r="459" spans="1:7" ht="15.75" customHeight="1" x14ac:dyDescent="0.3">
      <c r="A459" s="19"/>
      <c r="B459" s="19"/>
      <c r="C459" s="19"/>
      <c r="D459" s="19"/>
      <c r="E459" s="19"/>
      <c r="F459" s="19"/>
      <c r="G459" s="19"/>
    </row>
    <row r="460" spans="1:7" ht="15.75" customHeight="1" x14ac:dyDescent="0.3">
      <c r="A460" s="19"/>
      <c r="B460" s="19"/>
      <c r="C460" s="19"/>
      <c r="D460" s="19"/>
      <c r="E460" s="19"/>
      <c r="F460" s="19"/>
      <c r="G460" s="19"/>
    </row>
    <row r="461" spans="1:7" ht="15.75" customHeight="1" x14ac:dyDescent="0.3">
      <c r="A461" s="19"/>
      <c r="B461" s="19"/>
      <c r="C461" s="19"/>
      <c r="D461" s="19"/>
      <c r="E461" s="19"/>
      <c r="F461" s="19"/>
      <c r="G461" s="19"/>
    </row>
    <row r="462" spans="1:7" ht="15.75" customHeight="1" x14ac:dyDescent="0.3">
      <c r="A462" s="19"/>
      <c r="B462" s="19"/>
      <c r="C462" s="19"/>
      <c r="D462" s="19"/>
      <c r="E462" s="19"/>
      <c r="F462" s="19"/>
      <c r="G462" s="19"/>
    </row>
    <row r="463" spans="1:7" ht="15.75" customHeight="1" x14ac:dyDescent="0.3">
      <c r="A463" s="19"/>
      <c r="B463" s="19"/>
      <c r="C463" s="19"/>
      <c r="D463" s="19"/>
      <c r="E463" s="19"/>
      <c r="F463" s="19"/>
      <c r="G463" s="19"/>
    </row>
    <row r="464" spans="1:7" ht="15.75" customHeight="1" x14ac:dyDescent="0.3">
      <c r="A464" s="19"/>
      <c r="B464" s="19"/>
      <c r="C464" s="19"/>
      <c r="D464" s="19"/>
      <c r="E464" s="19"/>
      <c r="F464" s="19"/>
      <c r="G464" s="19"/>
    </row>
    <row r="465" spans="1:7" ht="15.75" customHeight="1" x14ac:dyDescent="0.3">
      <c r="A465" s="19"/>
      <c r="B465" s="19"/>
      <c r="C465" s="19"/>
      <c r="D465" s="19"/>
      <c r="E465" s="19"/>
      <c r="F465" s="19"/>
      <c r="G465" s="19"/>
    </row>
    <row r="466" spans="1:7" ht="15.75" customHeight="1" x14ac:dyDescent="0.3">
      <c r="A466" s="19"/>
      <c r="B466" s="19"/>
      <c r="C466" s="19"/>
      <c r="D466" s="19"/>
      <c r="E466" s="19"/>
      <c r="F466" s="19"/>
      <c r="G466" s="19"/>
    </row>
    <row r="467" spans="1:7" ht="15.75" customHeight="1" x14ac:dyDescent="0.3">
      <c r="A467" s="19"/>
      <c r="B467" s="19"/>
      <c r="C467" s="19"/>
      <c r="D467" s="19"/>
      <c r="E467" s="19"/>
      <c r="F467" s="19"/>
      <c r="G467" s="19"/>
    </row>
    <row r="468" spans="1:7" ht="15.75" customHeight="1" x14ac:dyDescent="0.3">
      <c r="A468" s="19"/>
      <c r="B468" s="19"/>
      <c r="C468" s="19"/>
      <c r="D468" s="19"/>
      <c r="E468" s="19"/>
      <c r="F468" s="19"/>
      <c r="G468" s="19"/>
    </row>
    <row r="469" spans="1:7" ht="15.75" customHeight="1" x14ac:dyDescent="0.3">
      <c r="A469" s="19"/>
      <c r="B469" s="19"/>
      <c r="C469" s="19"/>
      <c r="D469" s="19"/>
      <c r="E469" s="19"/>
      <c r="F469" s="19"/>
      <c r="G469" s="19"/>
    </row>
    <row r="470" spans="1:7" ht="15.75" customHeight="1" x14ac:dyDescent="0.3">
      <c r="A470" s="19"/>
      <c r="B470" s="19"/>
      <c r="C470" s="19"/>
      <c r="D470" s="19"/>
      <c r="E470" s="19"/>
      <c r="F470" s="19"/>
      <c r="G470" s="19"/>
    </row>
    <row r="471" spans="1:7" ht="15.75" customHeight="1" x14ac:dyDescent="0.3">
      <c r="A471" s="19"/>
      <c r="B471" s="19"/>
      <c r="C471" s="19"/>
      <c r="D471" s="19"/>
      <c r="E471" s="19"/>
      <c r="F471" s="19"/>
      <c r="G471" s="19"/>
    </row>
    <row r="472" spans="1:7" ht="15.75" customHeight="1" x14ac:dyDescent="0.3">
      <c r="A472" s="19"/>
      <c r="B472" s="19"/>
      <c r="C472" s="19"/>
      <c r="D472" s="19"/>
      <c r="E472" s="19"/>
      <c r="F472" s="19"/>
      <c r="G472" s="19"/>
    </row>
    <row r="473" spans="1:7" ht="15.75" customHeight="1" x14ac:dyDescent="0.3">
      <c r="A473" s="19"/>
      <c r="B473" s="19"/>
      <c r="C473" s="19"/>
      <c r="D473" s="19"/>
      <c r="E473" s="19"/>
      <c r="F473" s="19"/>
      <c r="G473" s="19"/>
    </row>
    <row r="474" spans="1:7" ht="15.75" customHeight="1" x14ac:dyDescent="0.3">
      <c r="A474" s="19"/>
      <c r="B474" s="19"/>
      <c r="C474" s="19"/>
      <c r="D474" s="19"/>
      <c r="E474" s="19"/>
      <c r="F474" s="19"/>
      <c r="G474" s="19"/>
    </row>
    <row r="475" spans="1:7" ht="15.75" customHeight="1" x14ac:dyDescent="0.3">
      <c r="A475" s="19"/>
      <c r="B475" s="19"/>
      <c r="C475" s="19"/>
      <c r="D475" s="19"/>
      <c r="E475" s="19"/>
      <c r="F475" s="19"/>
      <c r="G475" s="19"/>
    </row>
    <row r="476" spans="1:7" ht="15.75" customHeight="1" x14ac:dyDescent="0.3">
      <c r="A476" s="19"/>
      <c r="B476" s="19"/>
      <c r="C476" s="19"/>
      <c r="D476" s="19"/>
      <c r="E476" s="19"/>
      <c r="F476" s="19"/>
      <c r="G476" s="19"/>
    </row>
    <row r="477" spans="1:7" ht="15.75" customHeight="1" x14ac:dyDescent="0.3">
      <c r="A477" s="19"/>
      <c r="B477" s="19"/>
      <c r="C477" s="19"/>
      <c r="D477" s="19"/>
      <c r="E477" s="19"/>
      <c r="F477" s="19"/>
      <c r="G477" s="19"/>
    </row>
    <row r="478" spans="1:7" ht="15.75" customHeight="1" x14ac:dyDescent="0.3">
      <c r="A478" s="19"/>
      <c r="B478" s="19"/>
      <c r="C478" s="19"/>
      <c r="D478" s="19"/>
      <c r="E478" s="19"/>
      <c r="F478" s="19"/>
      <c r="G478" s="19"/>
    </row>
    <row r="479" spans="1:7" ht="15.75" customHeight="1" x14ac:dyDescent="0.3">
      <c r="A479" s="19"/>
      <c r="B479" s="19"/>
      <c r="C479" s="19"/>
      <c r="D479" s="19"/>
      <c r="E479" s="19"/>
      <c r="F479" s="19"/>
      <c r="G479" s="19"/>
    </row>
    <row r="480" spans="1:7" ht="15.75" customHeight="1" x14ac:dyDescent="0.3">
      <c r="A480" s="19"/>
      <c r="B480" s="19"/>
      <c r="C480" s="19"/>
      <c r="D480" s="19"/>
      <c r="E480" s="19"/>
      <c r="F480" s="19"/>
      <c r="G480" s="19"/>
    </row>
    <row r="481" spans="1:7" ht="15.75" customHeight="1" x14ac:dyDescent="0.3">
      <c r="A481" s="19"/>
      <c r="B481" s="19"/>
      <c r="C481" s="19"/>
      <c r="D481" s="19"/>
      <c r="E481" s="19"/>
      <c r="F481" s="19"/>
      <c r="G481" s="19"/>
    </row>
    <row r="482" spans="1:7" ht="15.75" customHeight="1" x14ac:dyDescent="0.3">
      <c r="A482" s="19"/>
      <c r="B482" s="19"/>
      <c r="C482" s="19"/>
      <c r="D482" s="19"/>
      <c r="E482" s="19"/>
      <c r="F482" s="19"/>
      <c r="G482" s="19"/>
    </row>
    <row r="483" spans="1:7" ht="15.75" customHeight="1" x14ac:dyDescent="0.3">
      <c r="A483" s="19"/>
      <c r="B483" s="19"/>
      <c r="C483" s="19"/>
      <c r="D483" s="19"/>
      <c r="E483" s="19"/>
      <c r="F483" s="19"/>
      <c r="G483" s="19"/>
    </row>
    <row r="484" spans="1:7" ht="15.75" customHeight="1" x14ac:dyDescent="0.3">
      <c r="A484" s="19"/>
      <c r="B484" s="19"/>
      <c r="C484" s="19"/>
      <c r="D484" s="19"/>
      <c r="E484" s="19"/>
      <c r="F484" s="19"/>
      <c r="G484" s="19"/>
    </row>
    <row r="485" spans="1:7" ht="15.75" customHeight="1" x14ac:dyDescent="0.3">
      <c r="A485" s="19"/>
      <c r="B485" s="19"/>
      <c r="C485" s="19"/>
      <c r="D485" s="19"/>
      <c r="E485" s="19"/>
      <c r="F485" s="19"/>
      <c r="G485" s="19"/>
    </row>
    <row r="486" spans="1:7" ht="15.75" customHeight="1" x14ac:dyDescent="0.3">
      <c r="A486" s="19"/>
      <c r="B486" s="19"/>
      <c r="C486" s="19"/>
      <c r="D486" s="19"/>
      <c r="E486" s="19"/>
      <c r="F486" s="19"/>
      <c r="G486" s="19"/>
    </row>
    <row r="487" spans="1:7" ht="15.75" customHeight="1" x14ac:dyDescent="0.3">
      <c r="A487" s="19"/>
      <c r="B487" s="19"/>
      <c r="C487" s="19"/>
      <c r="D487" s="19"/>
      <c r="E487" s="19"/>
      <c r="F487" s="19"/>
      <c r="G487" s="19"/>
    </row>
    <row r="488" spans="1:7" ht="15.75" customHeight="1" x14ac:dyDescent="0.3">
      <c r="A488" s="19"/>
      <c r="B488" s="19"/>
      <c r="C488" s="19"/>
      <c r="D488" s="19"/>
      <c r="E488" s="19"/>
      <c r="F488" s="19"/>
      <c r="G488" s="19"/>
    </row>
    <row r="489" spans="1:7" ht="15.75" customHeight="1" x14ac:dyDescent="0.3">
      <c r="A489" s="19"/>
      <c r="B489" s="19"/>
      <c r="C489" s="19"/>
      <c r="D489" s="19"/>
      <c r="E489" s="19"/>
      <c r="F489" s="19"/>
      <c r="G489" s="19"/>
    </row>
    <row r="490" spans="1:7" ht="15.75" customHeight="1" x14ac:dyDescent="0.3">
      <c r="A490" s="19"/>
      <c r="B490" s="19"/>
      <c r="C490" s="19"/>
      <c r="D490" s="19"/>
      <c r="E490" s="19"/>
      <c r="F490" s="19"/>
      <c r="G490" s="19"/>
    </row>
    <row r="491" spans="1:7" ht="15.75" customHeight="1" x14ac:dyDescent="0.3">
      <c r="A491" s="19"/>
      <c r="B491" s="19"/>
      <c r="C491" s="19"/>
      <c r="D491" s="19"/>
      <c r="E491" s="19"/>
      <c r="F491" s="19"/>
      <c r="G491" s="19"/>
    </row>
    <row r="492" spans="1:7" ht="15.75" customHeight="1" x14ac:dyDescent="0.3">
      <c r="A492" s="19"/>
      <c r="B492" s="19"/>
      <c r="C492" s="19"/>
      <c r="D492" s="19"/>
      <c r="E492" s="19"/>
      <c r="F492" s="19"/>
      <c r="G492" s="19"/>
    </row>
    <row r="493" spans="1:7" ht="15.75" customHeight="1" x14ac:dyDescent="0.3">
      <c r="A493" s="19"/>
      <c r="B493" s="19"/>
      <c r="C493" s="19"/>
      <c r="D493" s="19"/>
      <c r="E493" s="19"/>
      <c r="F493" s="19"/>
      <c r="G493" s="19"/>
    </row>
    <row r="494" spans="1:7" ht="15.75" customHeight="1" x14ac:dyDescent="0.3">
      <c r="A494" s="19"/>
      <c r="B494" s="19"/>
      <c r="C494" s="19"/>
      <c r="D494" s="19"/>
      <c r="E494" s="19"/>
      <c r="F494" s="19"/>
      <c r="G494" s="19"/>
    </row>
    <row r="495" spans="1:7" ht="15.75" customHeight="1" x14ac:dyDescent="0.3">
      <c r="A495" s="19"/>
      <c r="B495" s="19"/>
      <c r="C495" s="19"/>
      <c r="D495" s="19"/>
      <c r="E495" s="19"/>
      <c r="F495" s="19"/>
      <c r="G495" s="19"/>
    </row>
    <row r="496" spans="1:7" ht="15.75" customHeight="1" x14ac:dyDescent="0.3">
      <c r="A496" s="19"/>
      <c r="B496" s="19"/>
      <c r="C496" s="19"/>
      <c r="D496" s="19"/>
      <c r="E496" s="19"/>
      <c r="F496" s="19"/>
      <c r="G496" s="19"/>
    </row>
    <row r="497" spans="1:7" ht="15.75" customHeight="1" x14ac:dyDescent="0.3">
      <c r="A497" s="19"/>
      <c r="B497" s="19"/>
      <c r="C497" s="19"/>
      <c r="D497" s="19"/>
      <c r="E497" s="19"/>
      <c r="F497" s="19"/>
      <c r="G497" s="19"/>
    </row>
    <row r="498" spans="1:7" ht="15.75" customHeight="1" x14ac:dyDescent="0.3">
      <c r="A498" s="19"/>
      <c r="B498" s="19"/>
      <c r="C498" s="19"/>
      <c r="D498" s="19"/>
      <c r="E498" s="19"/>
      <c r="F498" s="19"/>
      <c r="G498" s="19"/>
    </row>
    <row r="499" spans="1:7" ht="15.75" customHeight="1" x14ac:dyDescent="0.3">
      <c r="A499" s="19"/>
      <c r="B499" s="19"/>
      <c r="C499" s="19"/>
      <c r="D499" s="19"/>
      <c r="E499" s="19"/>
      <c r="F499" s="19"/>
      <c r="G499" s="19"/>
    </row>
    <row r="500" spans="1:7" ht="15.75" customHeight="1" x14ac:dyDescent="0.3">
      <c r="A500" s="19"/>
      <c r="B500" s="19"/>
      <c r="C500" s="19"/>
      <c r="D500" s="19"/>
      <c r="E500" s="19"/>
      <c r="F500" s="19"/>
      <c r="G500" s="19"/>
    </row>
    <row r="501" spans="1:7" ht="15.75" customHeight="1" x14ac:dyDescent="0.3">
      <c r="A501" s="19"/>
      <c r="B501" s="19"/>
      <c r="C501" s="19"/>
      <c r="D501" s="19"/>
      <c r="E501" s="19"/>
      <c r="F501" s="19"/>
      <c r="G501" s="19"/>
    </row>
    <row r="502" spans="1:7" ht="15.75" customHeight="1" x14ac:dyDescent="0.3">
      <c r="A502" s="19"/>
      <c r="B502" s="19"/>
      <c r="C502" s="19"/>
      <c r="D502" s="19"/>
      <c r="E502" s="19"/>
      <c r="F502" s="19"/>
      <c r="G502" s="19"/>
    </row>
    <row r="503" spans="1:7" ht="15.75" customHeight="1" x14ac:dyDescent="0.3">
      <c r="A503" s="19"/>
      <c r="B503" s="19"/>
      <c r="C503" s="19"/>
      <c r="D503" s="19"/>
      <c r="E503" s="19"/>
      <c r="F503" s="19"/>
      <c r="G503" s="19"/>
    </row>
    <row r="504" spans="1:7" ht="15.75" customHeight="1" x14ac:dyDescent="0.3">
      <c r="A504" s="19"/>
      <c r="B504" s="19"/>
      <c r="C504" s="19"/>
      <c r="D504" s="19"/>
      <c r="E504" s="19"/>
      <c r="F504" s="19"/>
      <c r="G504" s="19"/>
    </row>
    <row r="505" spans="1:7" ht="15.75" customHeight="1" x14ac:dyDescent="0.3">
      <c r="A505" s="19"/>
      <c r="B505" s="19"/>
      <c r="C505" s="19"/>
      <c r="D505" s="19"/>
      <c r="E505" s="19"/>
      <c r="F505" s="19"/>
      <c r="G505" s="19"/>
    </row>
    <row r="506" spans="1:7" ht="15.75" customHeight="1" x14ac:dyDescent="0.3">
      <c r="A506" s="19"/>
      <c r="B506" s="19"/>
      <c r="C506" s="19"/>
      <c r="D506" s="19"/>
      <c r="E506" s="19"/>
      <c r="F506" s="19"/>
      <c r="G506" s="19"/>
    </row>
    <row r="507" spans="1:7" ht="15.75" customHeight="1" x14ac:dyDescent="0.3">
      <c r="A507" s="19"/>
      <c r="B507" s="19"/>
      <c r="C507" s="19"/>
      <c r="D507" s="19"/>
      <c r="E507" s="19"/>
      <c r="F507" s="19"/>
      <c r="G507" s="19"/>
    </row>
    <row r="508" spans="1:7" ht="15.75" customHeight="1" x14ac:dyDescent="0.3">
      <c r="A508" s="19"/>
      <c r="B508" s="19"/>
      <c r="C508" s="19"/>
      <c r="D508" s="19"/>
      <c r="E508" s="19"/>
      <c r="F508" s="19"/>
      <c r="G508" s="19"/>
    </row>
    <row r="509" spans="1:7" ht="15.75" customHeight="1" x14ac:dyDescent="0.3">
      <c r="A509" s="19"/>
      <c r="B509" s="19"/>
      <c r="C509" s="19"/>
      <c r="D509" s="19"/>
      <c r="E509" s="19"/>
      <c r="F509" s="19"/>
      <c r="G509" s="19"/>
    </row>
    <row r="510" spans="1:7" ht="15.75" customHeight="1" x14ac:dyDescent="0.3">
      <c r="A510" s="19"/>
      <c r="B510" s="19"/>
      <c r="C510" s="19"/>
      <c r="D510" s="19"/>
      <c r="E510" s="19"/>
      <c r="F510" s="19"/>
      <c r="G510" s="19"/>
    </row>
    <row r="511" spans="1:7" ht="15.75" customHeight="1" x14ac:dyDescent="0.3">
      <c r="A511" s="19"/>
      <c r="B511" s="19"/>
      <c r="C511" s="19"/>
      <c r="D511" s="19"/>
      <c r="E511" s="19"/>
      <c r="F511" s="19"/>
      <c r="G511" s="19"/>
    </row>
    <row r="512" spans="1:7" ht="15.75" customHeight="1" x14ac:dyDescent="0.3">
      <c r="A512" s="19"/>
      <c r="B512" s="19"/>
      <c r="C512" s="19"/>
      <c r="D512" s="19"/>
      <c r="E512" s="19"/>
      <c r="F512" s="19"/>
      <c r="G512" s="19"/>
    </row>
    <row r="513" spans="1:7" ht="15.75" customHeight="1" x14ac:dyDescent="0.3">
      <c r="A513" s="19"/>
      <c r="B513" s="19"/>
      <c r="C513" s="19"/>
      <c r="D513" s="19"/>
      <c r="E513" s="19"/>
      <c r="F513" s="19"/>
      <c r="G513" s="19"/>
    </row>
    <row r="514" spans="1:7" ht="15.75" customHeight="1" x14ac:dyDescent="0.3">
      <c r="A514" s="19"/>
      <c r="B514" s="19"/>
      <c r="C514" s="19"/>
      <c r="D514" s="19"/>
      <c r="E514" s="19"/>
      <c r="F514" s="19"/>
      <c r="G514" s="19"/>
    </row>
    <row r="515" spans="1:7" ht="15.75" customHeight="1" x14ac:dyDescent="0.3">
      <c r="A515" s="19"/>
      <c r="B515" s="19"/>
      <c r="C515" s="19"/>
      <c r="D515" s="19"/>
      <c r="E515" s="19"/>
      <c r="F515" s="19"/>
      <c r="G515" s="19"/>
    </row>
    <row r="516" spans="1:7" ht="15.75" customHeight="1" x14ac:dyDescent="0.3">
      <c r="A516" s="19"/>
      <c r="B516" s="19"/>
      <c r="C516" s="19"/>
      <c r="D516" s="19"/>
      <c r="E516" s="19"/>
      <c r="F516" s="19"/>
      <c r="G516" s="19"/>
    </row>
    <row r="517" spans="1:7" ht="15.75" customHeight="1" x14ac:dyDescent="0.3">
      <c r="A517" s="19"/>
      <c r="B517" s="19"/>
      <c r="C517" s="19"/>
      <c r="D517" s="19"/>
      <c r="E517" s="19"/>
      <c r="F517" s="19"/>
      <c r="G517" s="19"/>
    </row>
    <row r="518" spans="1:7" ht="15.75" customHeight="1" x14ac:dyDescent="0.3">
      <c r="A518" s="19"/>
      <c r="B518" s="19"/>
      <c r="C518" s="19"/>
      <c r="D518" s="19"/>
      <c r="E518" s="19"/>
      <c r="F518" s="19"/>
      <c r="G518" s="19"/>
    </row>
    <row r="519" spans="1:7" ht="15.75" customHeight="1" x14ac:dyDescent="0.3">
      <c r="A519" s="19"/>
      <c r="B519" s="19"/>
      <c r="C519" s="19"/>
      <c r="D519" s="19"/>
      <c r="E519" s="19"/>
      <c r="F519" s="19"/>
      <c r="G519" s="19"/>
    </row>
    <row r="520" spans="1:7" ht="15.75" customHeight="1" x14ac:dyDescent="0.3">
      <c r="A520" s="19"/>
      <c r="B520" s="19"/>
      <c r="C520" s="19"/>
      <c r="D520" s="19"/>
      <c r="E520" s="19"/>
      <c r="F520" s="19"/>
      <c r="G520" s="19"/>
    </row>
    <row r="521" spans="1:7" ht="15.75" customHeight="1" x14ac:dyDescent="0.3">
      <c r="A521" s="19"/>
      <c r="B521" s="19"/>
      <c r="C521" s="19"/>
      <c r="D521" s="19"/>
      <c r="E521" s="19"/>
      <c r="F521" s="19"/>
      <c r="G521" s="19"/>
    </row>
    <row r="522" spans="1:7" ht="15.75" customHeight="1" x14ac:dyDescent="0.3">
      <c r="A522" s="19"/>
      <c r="B522" s="19"/>
      <c r="C522" s="19"/>
      <c r="D522" s="19"/>
      <c r="E522" s="19"/>
      <c r="F522" s="19"/>
      <c r="G522" s="19"/>
    </row>
    <row r="523" spans="1:7" ht="15.75" customHeight="1" x14ac:dyDescent="0.3">
      <c r="A523" s="19"/>
      <c r="B523" s="19"/>
      <c r="C523" s="19"/>
      <c r="D523" s="19"/>
      <c r="E523" s="19"/>
      <c r="F523" s="19"/>
      <c r="G523" s="19"/>
    </row>
    <row r="524" spans="1:7" ht="15.75" customHeight="1" x14ac:dyDescent="0.3">
      <c r="A524" s="19"/>
      <c r="B524" s="19"/>
      <c r="C524" s="19"/>
      <c r="D524" s="19"/>
      <c r="E524" s="19"/>
      <c r="F524" s="19"/>
      <c r="G524" s="19"/>
    </row>
    <row r="525" spans="1:7" ht="15.75" customHeight="1" x14ac:dyDescent="0.3">
      <c r="A525" s="19"/>
      <c r="B525" s="19"/>
      <c r="C525" s="19"/>
      <c r="D525" s="19"/>
      <c r="E525" s="19"/>
      <c r="F525" s="19"/>
      <c r="G525" s="19"/>
    </row>
    <row r="526" spans="1:7" ht="15.75" customHeight="1" x14ac:dyDescent="0.3">
      <c r="A526" s="19"/>
      <c r="B526" s="19"/>
      <c r="C526" s="19"/>
      <c r="D526" s="19"/>
      <c r="E526" s="19"/>
      <c r="F526" s="19"/>
      <c r="G526" s="19"/>
    </row>
    <row r="527" spans="1:7" ht="15.75" customHeight="1" x14ac:dyDescent="0.3">
      <c r="A527" s="19"/>
      <c r="B527" s="19"/>
      <c r="C527" s="19"/>
      <c r="D527" s="19"/>
      <c r="E527" s="19"/>
      <c r="F527" s="19"/>
      <c r="G527" s="19"/>
    </row>
    <row r="528" spans="1:7" ht="15.75" customHeight="1" x14ac:dyDescent="0.3">
      <c r="A528" s="19"/>
      <c r="B528" s="19"/>
      <c r="C528" s="19"/>
      <c r="D528" s="19"/>
      <c r="E528" s="19"/>
      <c r="F528" s="19"/>
      <c r="G528" s="19"/>
    </row>
    <row r="529" spans="1:7" ht="15.75" customHeight="1" x14ac:dyDescent="0.3">
      <c r="A529" s="19"/>
      <c r="B529" s="19"/>
      <c r="C529" s="19"/>
      <c r="D529" s="19"/>
      <c r="E529" s="19"/>
      <c r="F529" s="19"/>
      <c r="G529" s="19"/>
    </row>
    <row r="530" spans="1:7" ht="15.75" customHeight="1" x14ac:dyDescent="0.3">
      <c r="A530" s="19"/>
      <c r="B530" s="19"/>
      <c r="C530" s="19"/>
      <c r="D530" s="19"/>
      <c r="E530" s="19"/>
      <c r="F530" s="19"/>
      <c r="G530" s="19"/>
    </row>
    <row r="531" spans="1:7" ht="15.75" customHeight="1" x14ac:dyDescent="0.3">
      <c r="A531" s="19"/>
      <c r="B531" s="19"/>
      <c r="C531" s="19"/>
      <c r="D531" s="19"/>
      <c r="E531" s="19"/>
      <c r="F531" s="19"/>
      <c r="G531" s="19"/>
    </row>
    <row r="532" spans="1:7" ht="15.75" customHeight="1" x14ac:dyDescent="0.3">
      <c r="A532" s="19"/>
      <c r="B532" s="19"/>
      <c r="C532" s="19"/>
      <c r="D532" s="19"/>
      <c r="E532" s="19"/>
      <c r="F532" s="19"/>
      <c r="G532" s="19"/>
    </row>
    <row r="533" spans="1:7" ht="15.75" customHeight="1" x14ac:dyDescent="0.3">
      <c r="A533" s="19"/>
      <c r="B533" s="19"/>
      <c r="C533" s="19"/>
      <c r="D533" s="19"/>
      <c r="E533" s="19"/>
      <c r="F533" s="19"/>
      <c r="G533" s="19"/>
    </row>
    <row r="534" spans="1:7" ht="15.75" customHeight="1" x14ac:dyDescent="0.3">
      <c r="A534" s="19"/>
      <c r="B534" s="19"/>
      <c r="C534" s="19"/>
      <c r="D534" s="19"/>
      <c r="E534" s="19"/>
      <c r="F534" s="19"/>
      <c r="G534" s="19"/>
    </row>
    <row r="535" spans="1:7" ht="15.75" customHeight="1" x14ac:dyDescent="0.3">
      <c r="A535" s="19"/>
      <c r="B535" s="19"/>
      <c r="C535" s="19"/>
      <c r="D535" s="19"/>
      <c r="E535" s="19"/>
      <c r="F535" s="19"/>
      <c r="G535" s="19"/>
    </row>
    <row r="536" spans="1:7" ht="15.75" customHeight="1" x14ac:dyDescent="0.3">
      <c r="A536" s="19"/>
      <c r="B536" s="19"/>
      <c r="C536" s="19"/>
      <c r="D536" s="19"/>
      <c r="E536" s="19"/>
      <c r="F536" s="19"/>
      <c r="G536" s="19"/>
    </row>
    <row r="537" spans="1:7" ht="15.75" customHeight="1" x14ac:dyDescent="0.3">
      <c r="A537" s="19"/>
      <c r="B537" s="19"/>
      <c r="C537" s="19"/>
      <c r="D537" s="19"/>
      <c r="E537" s="19"/>
      <c r="F537" s="19"/>
      <c r="G537" s="19"/>
    </row>
    <row r="538" spans="1:7" ht="15.75" customHeight="1" x14ac:dyDescent="0.3">
      <c r="A538" s="19"/>
      <c r="B538" s="19"/>
      <c r="C538" s="19"/>
      <c r="D538" s="19"/>
      <c r="E538" s="19"/>
      <c r="F538" s="19"/>
      <c r="G538" s="19"/>
    </row>
    <row r="539" spans="1:7" ht="15.75" customHeight="1" x14ac:dyDescent="0.3">
      <c r="A539" s="19"/>
      <c r="B539" s="19"/>
      <c r="C539" s="19"/>
      <c r="D539" s="19"/>
      <c r="E539" s="19"/>
      <c r="F539" s="19"/>
      <c r="G539" s="19"/>
    </row>
    <row r="540" spans="1:7" ht="15.75" customHeight="1" x14ac:dyDescent="0.3">
      <c r="A540" s="19"/>
      <c r="B540" s="19"/>
      <c r="C540" s="19"/>
      <c r="D540" s="19"/>
      <c r="E540" s="19"/>
      <c r="F540" s="19"/>
      <c r="G540" s="19"/>
    </row>
    <row r="541" spans="1:7" ht="15.75" customHeight="1" x14ac:dyDescent="0.3">
      <c r="A541" s="19"/>
      <c r="B541" s="19"/>
      <c r="C541" s="19"/>
      <c r="D541" s="19"/>
      <c r="E541" s="19"/>
      <c r="F541" s="19"/>
      <c r="G541" s="19"/>
    </row>
    <row r="542" spans="1:7" ht="15.75" customHeight="1" x14ac:dyDescent="0.3">
      <c r="A542" s="19"/>
      <c r="B542" s="19"/>
      <c r="C542" s="19"/>
      <c r="D542" s="19"/>
      <c r="E542" s="19"/>
      <c r="F542" s="19"/>
      <c r="G542" s="19"/>
    </row>
    <row r="543" spans="1:7" ht="15.75" customHeight="1" x14ac:dyDescent="0.3">
      <c r="A543" s="19"/>
      <c r="B543" s="19"/>
      <c r="C543" s="19"/>
      <c r="D543" s="19"/>
      <c r="E543" s="19"/>
      <c r="F543" s="19"/>
      <c r="G543" s="19"/>
    </row>
    <row r="544" spans="1:7" ht="15.75" customHeight="1" x14ac:dyDescent="0.3">
      <c r="A544" s="19"/>
      <c r="B544" s="19"/>
      <c r="C544" s="19"/>
      <c r="D544" s="19"/>
      <c r="E544" s="19"/>
      <c r="F544" s="19"/>
      <c r="G544" s="19"/>
    </row>
    <row r="545" spans="1:7" ht="15.75" customHeight="1" x14ac:dyDescent="0.3">
      <c r="A545" s="19"/>
      <c r="B545" s="19"/>
      <c r="C545" s="19"/>
      <c r="D545" s="19"/>
      <c r="E545" s="19"/>
      <c r="F545" s="19"/>
      <c r="G545" s="19"/>
    </row>
    <row r="546" spans="1:7" ht="15.75" customHeight="1" x14ac:dyDescent="0.3">
      <c r="A546" s="19"/>
      <c r="B546" s="19"/>
      <c r="C546" s="19"/>
      <c r="D546" s="19"/>
      <c r="E546" s="19"/>
      <c r="F546" s="19"/>
      <c r="G546" s="19"/>
    </row>
    <row r="547" spans="1:7" ht="15.75" customHeight="1" x14ac:dyDescent="0.3">
      <c r="A547" s="19"/>
      <c r="B547" s="19"/>
      <c r="C547" s="19"/>
      <c r="D547" s="19"/>
      <c r="E547" s="19"/>
      <c r="F547" s="19"/>
      <c r="G547" s="19"/>
    </row>
    <row r="548" spans="1:7" ht="15.75" customHeight="1" x14ac:dyDescent="0.3">
      <c r="A548" s="19"/>
      <c r="B548" s="19"/>
      <c r="C548" s="19"/>
      <c r="D548" s="19"/>
      <c r="E548" s="19"/>
      <c r="F548" s="19"/>
      <c r="G548" s="19"/>
    </row>
    <row r="549" spans="1:7" ht="15.75" customHeight="1" x14ac:dyDescent="0.3">
      <c r="A549" s="19"/>
      <c r="B549" s="19"/>
      <c r="C549" s="19"/>
      <c r="D549" s="19"/>
      <c r="E549" s="19"/>
      <c r="F549" s="19"/>
      <c r="G549" s="19"/>
    </row>
    <row r="550" spans="1:7" ht="15.75" customHeight="1" x14ac:dyDescent="0.3">
      <c r="A550" s="19"/>
      <c r="B550" s="19"/>
      <c r="C550" s="19"/>
      <c r="D550" s="19"/>
      <c r="E550" s="19"/>
      <c r="F550" s="19"/>
      <c r="G550" s="19"/>
    </row>
    <row r="551" spans="1:7" ht="15.75" customHeight="1" x14ac:dyDescent="0.3">
      <c r="A551" s="19"/>
      <c r="B551" s="19"/>
      <c r="C551" s="19"/>
      <c r="D551" s="19"/>
      <c r="E551" s="19"/>
      <c r="F551" s="19"/>
      <c r="G551" s="19"/>
    </row>
    <row r="552" spans="1:7" ht="15.75" customHeight="1" x14ac:dyDescent="0.3">
      <c r="A552" s="19"/>
      <c r="B552" s="19"/>
      <c r="C552" s="19"/>
      <c r="D552" s="19"/>
      <c r="E552" s="19"/>
      <c r="F552" s="19"/>
      <c r="G552" s="19"/>
    </row>
    <row r="553" spans="1:7" ht="15.75" customHeight="1" x14ac:dyDescent="0.3">
      <c r="A553" s="19"/>
      <c r="B553" s="19"/>
      <c r="C553" s="19"/>
      <c r="D553" s="19"/>
      <c r="E553" s="19"/>
      <c r="F553" s="19"/>
      <c r="G553" s="19"/>
    </row>
    <row r="554" spans="1:7" ht="15.75" customHeight="1" x14ac:dyDescent="0.3">
      <c r="A554" s="19"/>
      <c r="B554" s="19"/>
      <c r="C554" s="19"/>
      <c r="D554" s="19"/>
      <c r="E554" s="19"/>
      <c r="F554" s="19"/>
      <c r="G554" s="19"/>
    </row>
    <row r="555" spans="1:7" ht="15.75" customHeight="1" x14ac:dyDescent="0.3">
      <c r="A555" s="19"/>
      <c r="B555" s="19"/>
      <c r="C555" s="19"/>
      <c r="D555" s="19"/>
      <c r="E555" s="19"/>
      <c r="F555" s="19"/>
      <c r="G555" s="19"/>
    </row>
    <row r="556" spans="1:7" ht="15.75" customHeight="1" x14ac:dyDescent="0.3">
      <c r="A556" s="19"/>
      <c r="B556" s="19"/>
      <c r="C556" s="19"/>
      <c r="D556" s="19"/>
      <c r="E556" s="19"/>
      <c r="F556" s="19"/>
      <c r="G556" s="19"/>
    </row>
    <row r="557" spans="1:7" ht="15.75" customHeight="1" x14ac:dyDescent="0.3">
      <c r="A557" s="19"/>
      <c r="B557" s="19"/>
      <c r="C557" s="19"/>
      <c r="D557" s="19"/>
      <c r="E557" s="19"/>
      <c r="F557" s="19"/>
      <c r="G557" s="19"/>
    </row>
    <row r="558" spans="1:7" ht="15.75" customHeight="1" x14ac:dyDescent="0.3">
      <c r="A558" s="19"/>
      <c r="B558" s="19"/>
      <c r="C558" s="19"/>
      <c r="D558" s="19"/>
      <c r="E558" s="19"/>
      <c r="F558" s="19"/>
      <c r="G558" s="19"/>
    </row>
    <row r="559" spans="1:7" ht="15.75" customHeight="1" x14ac:dyDescent="0.3">
      <c r="A559" s="19"/>
      <c r="B559" s="19"/>
      <c r="C559" s="19"/>
      <c r="D559" s="19"/>
      <c r="E559" s="19"/>
      <c r="F559" s="19"/>
      <c r="G559" s="19"/>
    </row>
    <row r="560" spans="1:7" ht="15.75" customHeight="1" x14ac:dyDescent="0.3">
      <c r="A560" s="19"/>
      <c r="B560" s="19"/>
      <c r="C560" s="19"/>
      <c r="D560" s="19"/>
      <c r="E560" s="19"/>
      <c r="F560" s="19"/>
      <c r="G560" s="19"/>
    </row>
    <row r="561" spans="1:7" ht="15.75" customHeight="1" x14ac:dyDescent="0.3">
      <c r="A561" s="19"/>
      <c r="B561" s="19"/>
      <c r="C561" s="19"/>
      <c r="D561" s="19"/>
      <c r="E561" s="19"/>
      <c r="F561" s="19"/>
      <c r="G561" s="19"/>
    </row>
    <row r="562" spans="1:7" ht="15.75" customHeight="1" x14ac:dyDescent="0.3">
      <c r="A562" s="19"/>
      <c r="B562" s="19"/>
      <c r="C562" s="19"/>
      <c r="D562" s="19"/>
      <c r="E562" s="19"/>
      <c r="F562" s="19"/>
      <c r="G562" s="19"/>
    </row>
    <row r="563" spans="1:7" ht="15.75" customHeight="1" x14ac:dyDescent="0.3">
      <c r="A563" s="19"/>
      <c r="B563" s="19"/>
      <c r="C563" s="19"/>
      <c r="D563" s="19"/>
      <c r="E563" s="19"/>
      <c r="F563" s="19"/>
      <c r="G563" s="19"/>
    </row>
    <row r="564" spans="1:7" ht="15.75" customHeight="1" x14ac:dyDescent="0.3">
      <c r="A564" s="19"/>
      <c r="B564" s="19"/>
      <c r="C564" s="19"/>
      <c r="D564" s="19"/>
      <c r="E564" s="19"/>
      <c r="F564" s="19"/>
      <c r="G564" s="19"/>
    </row>
    <row r="565" spans="1:7" ht="15.75" customHeight="1" x14ac:dyDescent="0.3">
      <c r="A565" s="19"/>
      <c r="B565" s="19"/>
      <c r="C565" s="19"/>
      <c r="D565" s="19"/>
      <c r="E565" s="19"/>
      <c r="F565" s="19"/>
      <c r="G565" s="19"/>
    </row>
    <row r="566" spans="1:7" ht="15.75" customHeight="1" x14ac:dyDescent="0.3">
      <c r="A566" s="19"/>
      <c r="B566" s="19"/>
      <c r="C566" s="19"/>
      <c r="D566" s="19"/>
      <c r="E566" s="19"/>
      <c r="F566" s="19"/>
      <c r="G566" s="19"/>
    </row>
    <row r="567" spans="1:7" ht="15.75" customHeight="1" x14ac:dyDescent="0.3">
      <c r="A567" s="19"/>
      <c r="B567" s="19"/>
      <c r="C567" s="19"/>
      <c r="D567" s="19"/>
      <c r="E567" s="19"/>
      <c r="F567" s="19"/>
      <c r="G567" s="19"/>
    </row>
    <row r="568" spans="1:7" ht="15.75" customHeight="1" x14ac:dyDescent="0.3">
      <c r="A568" s="19"/>
      <c r="B568" s="19"/>
      <c r="C568" s="19"/>
      <c r="D568" s="19"/>
      <c r="E568" s="19"/>
      <c r="F568" s="19"/>
      <c r="G568" s="19"/>
    </row>
    <row r="569" spans="1:7" ht="15.75" customHeight="1" x14ac:dyDescent="0.3">
      <c r="A569" s="19"/>
      <c r="B569" s="19"/>
      <c r="C569" s="19"/>
      <c r="D569" s="19"/>
      <c r="E569" s="19"/>
      <c r="F569" s="19"/>
      <c r="G569" s="19"/>
    </row>
    <row r="570" spans="1:7" ht="15.75" customHeight="1" x14ac:dyDescent="0.3">
      <c r="A570" s="19"/>
      <c r="B570" s="19"/>
      <c r="C570" s="19"/>
      <c r="D570" s="19"/>
      <c r="E570" s="19"/>
      <c r="F570" s="19"/>
      <c r="G570" s="19"/>
    </row>
    <row r="571" spans="1:7" ht="15.75" customHeight="1" x14ac:dyDescent="0.3">
      <c r="A571" s="19"/>
      <c r="B571" s="19"/>
      <c r="C571" s="19"/>
      <c r="D571" s="19"/>
      <c r="E571" s="19"/>
      <c r="F571" s="19"/>
      <c r="G571" s="19"/>
    </row>
    <row r="572" spans="1:7" ht="15.75" customHeight="1" x14ac:dyDescent="0.3">
      <c r="A572" s="19"/>
      <c r="B572" s="19"/>
      <c r="C572" s="19"/>
      <c r="D572" s="19"/>
      <c r="E572" s="19"/>
      <c r="F572" s="19"/>
      <c r="G572" s="19"/>
    </row>
    <row r="573" spans="1:7" ht="15.75" customHeight="1" x14ac:dyDescent="0.3">
      <c r="A573" s="19"/>
      <c r="B573" s="19"/>
      <c r="C573" s="19"/>
      <c r="D573" s="19"/>
      <c r="E573" s="19"/>
      <c r="F573" s="19"/>
      <c r="G573" s="19"/>
    </row>
    <row r="574" spans="1:7" ht="15.75" customHeight="1" x14ac:dyDescent="0.3">
      <c r="A574" s="19"/>
      <c r="B574" s="19"/>
      <c r="C574" s="19"/>
      <c r="D574" s="19"/>
      <c r="E574" s="19"/>
      <c r="F574" s="19"/>
      <c r="G574" s="19"/>
    </row>
    <row r="575" spans="1:7" ht="15.75" customHeight="1" x14ac:dyDescent="0.3">
      <c r="A575" s="19"/>
      <c r="B575" s="19"/>
      <c r="C575" s="19"/>
      <c r="D575" s="19"/>
      <c r="E575" s="19"/>
      <c r="F575" s="19"/>
      <c r="G575" s="19"/>
    </row>
    <row r="576" spans="1:7" ht="15.75" customHeight="1" x14ac:dyDescent="0.3">
      <c r="A576" s="19"/>
      <c r="B576" s="19"/>
      <c r="C576" s="19"/>
      <c r="D576" s="19"/>
      <c r="E576" s="19"/>
      <c r="F576" s="19"/>
      <c r="G576" s="19"/>
    </row>
    <row r="577" spans="1:7" ht="15.75" customHeight="1" x14ac:dyDescent="0.3">
      <c r="A577" s="19"/>
      <c r="B577" s="19"/>
      <c r="C577" s="19"/>
      <c r="D577" s="19"/>
      <c r="E577" s="19"/>
      <c r="F577" s="19"/>
      <c r="G577" s="19"/>
    </row>
    <row r="578" spans="1:7" ht="15.75" customHeight="1" x14ac:dyDescent="0.3">
      <c r="A578" s="19"/>
      <c r="B578" s="19"/>
      <c r="C578" s="19"/>
      <c r="D578" s="19"/>
      <c r="E578" s="19"/>
      <c r="F578" s="19"/>
      <c r="G578" s="19"/>
    </row>
    <row r="579" spans="1:7" ht="15.75" customHeight="1" x14ac:dyDescent="0.3">
      <c r="A579" s="19"/>
      <c r="B579" s="19"/>
      <c r="C579" s="19"/>
      <c r="D579" s="19"/>
      <c r="E579" s="19"/>
      <c r="F579" s="19"/>
      <c r="G579" s="19"/>
    </row>
    <row r="580" spans="1:7" ht="15.75" customHeight="1" x14ac:dyDescent="0.3">
      <c r="A580" s="19"/>
      <c r="B580" s="19"/>
      <c r="C580" s="19"/>
      <c r="D580" s="19"/>
      <c r="E580" s="19"/>
      <c r="F580" s="19"/>
      <c r="G580" s="19"/>
    </row>
    <row r="581" spans="1:7" ht="15.75" customHeight="1" x14ac:dyDescent="0.3">
      <c r="A581" s="19"/>
      <c r="B581" s="19"/>
      <c r="C581" s="19"/>
      <c r="D581" s="19"/>
      <c r="E581" s="19"/>
      <c r="F581" s="19"/>
      <c r="G581" s="19"/>
    </row>
    <row r="582" spans="1:7" ht="15.75" customHeight="1" x14ac:dyDescent="0.3">
      <c r="A582" s="19"/>
      <c r="B582" s="19"/>
      <c r="C582" s="19"/>
      <c r="D582" s="19"/>
      <c r="E582" s="19"/>
      <c r="F582" s="19"/>
      <c r="G582" s="19"/>
    </row>
    <row r="583" spans="1:7" ht="15.75" customHeight="1" x14ac:dyDescent="0.3">
      <c r="A583" s="19"/>
      <c r="B583" s="19"/>
      <c r="C583" s="19"/>
      <c r="D583" s="19"/>
      <c r="E583" s="19"/>
      <c r="F583" s="19"/>
      <c r="G583" s="19"/>
    </row>
    <row r="584" spans="1:7" ht="15.75" customHeight="1" x14ac:dyDescent="0.3">
      <c r="A584" s="19"/>
      <c r="B584" s="19"/>
      <c r="C584" s="19"/>
      <c r="D584" s="19"/>
      <c r="E584" s="19"/>
      <c r="F584" s="19"/>
      <c r="G584" s="19"/>
    </row>
    <row r="585" spans="1:7" ht="15.75" customHeight="1" x14ac:dyDescent="0.3">
      <c r="A585" s="19"/>
      <c r="B585" s="19"/>
      <c r="C585" s="19"/>
      <c r="D585" s="19"/>
      <c r="E585" s="19"/>
      <c r="F585" s="19"/>
      <c r="G585" s="19"/>
    </row>
    <row r="586" spans="1:7" ht="15.75" customHeight="1" x14ac:dyDescent="0.3">
      <c r="A586" s="19"/>
      <c r="B586" s="19"/>
      <c r="C586" s="19"/>
      <c r="D586" s="19"/>
      <c r="E586" s="19"/>
      <c r="F586" s="19"/>
      <c r="G586" s="19"/>
    </row>
    <row r="587" spans="1:7" ht="15.75" customHeight="1" x14ac:dyDescent="0.3">
      <c r="A587" s="19"/>
      <c r="B587" s="19"/>
      <c r="C587" s="19"/>
      <c r="D587" s="19"/>
      <c r="E587" s="19"/>
      <c r="F587" s="19"/>
      <c r="G587" s="19"/>
    </row>
    <row r="588" spans="1:7" ht="15.75" customHeight="1" x14ac:dyDescent="0.3">
      <c r="A588" s="19"/>
      <c r="B588" s="19"/>
      <c r="C588" s="19"/>
      <c r="D588" s="19"/>
      <c r="E588" s="19"/>
      <c r="F588" s="19"/>
      <c r="G588" s="19"/>
    </row>
    <row r="589" spans="1:7" ht="15.75" customHeight="1" x14ac:dyDescent="0.3">
      <c r="A589" s="19"/>
      <c r="B589" s="19"/>
      <c r="C589" s="19"/>
      <c r="D589" s="19"/>
      <c r="E589" s="19"/>
      <c r="F589" s="19"/>
      <c r="G589" s="19"/>
    </row>
    <row r="590" spans="1:7" ht="15.75" customHeight="1" x14ac:dyDescent="0.3">
      <c r="A590" s="19"/>
      <c r="B590" s="19"/>
      <c r="C590" s="19"/>
      <c r="D590" s="19"/>
      <c r="E590" s="19"/>
      <c r="F590" s="19"/>
      <c r="G590" s="19"/>
    </row>
    <row r="591" spans="1:7" ht="15.75" customHeight="1" x14ac:dyDescent="0.3">
      <c r="A591" s="19"/>
      <c r="B591" s="19"/>
      <c r="C591" s="19"/>
      <c r="D591" s="19"/>
      <c r="E591" s="19"/>
      <c r="F591" s="19"/>
      <c r="G591" s="19"/>
    </row>
    <row r="592" spans="1:7" ht="15.75" customHeight="1" x14ac:dyDescent="0.3">
      <c r="A592" s="19"/>
      <c r="B592" s="19"/>
      <c r="C592" s="19"/>
      <c r="D592" s="19"/>
      <c r="E592" s="19"/>
      <c r="F592" s="19"/>
      <c r="G592" s="19"/>
    </row>
    <row r="593" spans="1:7" ht="15.75" customHeight="1" x14ac:dyDescent="0.3">
      <c r="A593" s="19"/>
      <c r="B593" s="19"/>
      <c r="C593" s="19"/>
      <c r="D593" s="19"/>
      <c r="E593" s="19"/>
      <c r="F593" s="19"/>
      <c r="G593" s="19"/>
    </row>
    <row r="594" spans="1:7" ht="15.75" customHeight="1" x14ac:dyDescent="0.3">
      <c r="A594" s="19"/>
      <c r="B594" s="19"/>
      <c r="C594" s="19"/>
      <c r="D594" s="19"/>
      <c r="E594" s="19"/>
      <c r="F594" s="19"/>
      <c r="G594" s="19"/>
    </row>
    <row r="595" spans="1:7" ht="15.75" customHeight="1" x14ac:dyDescent="0.3">
      <c r="A595" s="19"/>
      <c r="B595" s="19"/>
      <c r="C595" s="19"/>
      <c r="D595" s="19"/>
      <c r="E595" s="19"/>
      <c r="F595" s="19"/>
      <c r="G595" s="19"/>
    </row>
    <row r="596" spans="1:7" ht="15.75" customHeight="1" x14ac:dyDescent="0.3">
      <c r="A596" s="19"/>
      <c r="B596" s="19"/>
      <c r="C596" s="19"/>
      <c r="D596" s="19"/>
      <c r="E596" s="19"/>
      <c r="F596" s="19"/>
      <c r="G596" s="19"/>
    </row>
    <row r="597" spans="1:7" ht="15.75" customHeight="1" x14ac:dyDescent="0.3">
      <c r="A597" s="19"/>
      <c r="B597" s="19"/>
      <c r="C597" s="19"/>
      <c r="D597" s="19"/>
      <c r="E597" s="19"/>
      <c r="F597" s="19"/>
      <c r="G597" s="19"/>
    </row>
    <row r="598" spans="1:7" ht="15.75" customHeight="1" x14ac:dyDescent="0.3">
      <c r="A598" s="19"/>
      <c r="B598" s="19"/>
      <c r="C598" s="19"/>
      <c r="D598" s="19"/>
      <c r="E598" s="19"/>
      <c r="F598" s="19"/>
      <c r="G598" s="19"/>
    </row>
    <row r="599" spans="1:7" ht="15.75" customHeight="1" x14ac:dyDescent="0.3">
      <c r="A599" s="19"/>
      <c r="B599" s="19"/>
      <c r="C599" s="19"/>
      <c r="D599" s="19"/>
      <c r="E599" s="19"/>
      <c r="F599" s="19"/>
      <c r="G599" s="19"/>
    </row>
    <row r="600" spans="1:7" ht="15.75" customHeight="1" x14ac:dyDescent="0.3">
      <c r="A600" s="19"/>
      <c r="B600" s="19"/>
      <c r="C600" s="19"/>
      <c r="D600" s="19"/>
      <c r="E600" s="19"/>
      <c r="F600" s="19"/>
      <c r="G600" s="19"/>
    </row>
    <row r="601" spans="1:7" ht="15.75" customHeight="1" x14ac:dyDescent="0.3">
      <c r="A601" s="19"/>
      <c r="B601" s="19"/>
      <c r="C601" s="19"/>
      <c r="D601" s="19"/>
      <c r="E601" s="19"/>
      <c r="F601" s="19"/>
      <c r="G601" s="19"/>
    </row>
    <row r="602" spans="1:7" ht="15.75" customHeight="1" x14ac:dyDescent="0.3">
      <c r="A602" s="19"/>
      <c r="B602" s="19"/>
      <c r="C602" s="19"/>
      <c r="D602" s="19"/>
      <c r="E602" s="19"/>
      <c r="F602" s="19"/>
      <c r="G602" s="19"/>
    </row>
    <row r="603" spans="1:7" ht="15.75" customHeight="1" x14ac:dyDescent="0.3">
      <c r="A603" s="19"/>
      <c r="B603" s="19"/>
      <c r="C603" s="19"/>
      <c r="D603" s="19"/>
      <c r="E603" s="19"/>
      <c r="F603" s="19"/>
      <c r="G603" s="19"/>
    </row>
    <row r="604" spans="1:7" ht="15.75" customHeight="1" x14ac:dyDescent="0.3">
      <c r="A604" s="19"/>
      <c r="B604" s="19"/>
      <c r="C604" s="19"/>
      <c r="D604" s="19"/>
      <c r="E604" s="19"/>
      <c r="F604" s="19"/>
      <c r="G604" s="19"/>
    </row>
    <row r="605" spans="1:7" ht="15.75" customHeight="1" x14ac:dyDescent="0.3">
      <c r="A605" s="19"/>
      <c r="B605" s="19"/>
      <c r="C605" s="19"/>
      <c r="D605" s="19"/>
      <c r="E605" s="19"/>
      <c r="F605" s="19"/>
      <c r="G605" s="19"/>
    </row>
    <row r="606" spans="1:7" ht="15.75" customHeight="1" x14ac:dyDescent="0.3">
      <c r="A606" s="19"/>
      <c r="B606" s="19"/>
      <c r="C606" s="19"/>
      <c r="D606" s="19"/>
      <c r="E606" s="19"/>
      <c r="F606" s="19"/>
      <c r="G606" s="19"/>
    </row>
    <row r="607" spans="1:7" ht="15.75" customHeight="1" x14ac:dyDescent="0.3">
      <c r="A607" s="19"/>
      <c r="B607" s="19"/>
      <c r="C607" s="19"/>
      <c r="D607" s="19"/>
      <c r="E607" s="19"/>
      <c r="F607" s="19"/>
      <c r="G607" s="19"/>
    </row>
    <row r="608" spans="1:7" ht="15.75" customHeight="1" x14ac:dyDescent="0.3">
      <c r="A608" s="19"/>
      <c r="B608" s="19"/>
      <c r="C608" s="19"/>
      <c r="D608" s="19"/>
      <c r="E608" s="19"/>
      <c r="F608" s="19"/>
      <c r="G608" s="19"/>
    </row>
    <row r="609" spans="1:7" ht="15.75" customHeight="1" x14ac:dyDescent="0.3">
      <c r="A609" s="19"/>
      <c r="B609" s="19"/>
      <c r="C609" s="19"/>
      <c r="D609" s="19"/>
      <c r="E609" s="19"/>
      <c r="F609" s="19"/>
      <c r="G609" s="19"/>
    </row>
    <row r="610" spans="1:7" ht="15.75" customHeight="1" x14ac:dyDescent="0.3">
      <c r="A610" s="19"/>
      <c r="B610" s="19"/>
      <c r="C610" s="19"/>
      <c r="D610" s="19"/>
      <c r="E610" s="19"/>
      <c r="F610" s="19"/>
      <c r="G610" s="19"/>
    </row>
    <row r="611" spans="1:7" ht="15.75" customHeight="1" x14ac:dyDescent="0.3">
      <c r="A611" s="19"/>
      <c r="B611" s="19"/>
      <c r="C611" s="19"/>
      <c r="D611" s="19"/>
      <c r="E611" s="19"/>
      <c r="F611" s="19"/>
      <c r="G611" s="19"/>
    </row>
    <row r="612" spans="1:7" ht="15.75" customHeight="1" x14ac:dyDescent="0.3">
      <c r="A612" s="19"/>
      <c r="B612" s="19"/>
      <c r="C612" s="19"/>
      <c r="D612" s="19"/>
      <c r="E612" s="19"/>
      <c r="F612" s="19"/>
      <c r="G612" s="19"/>
    </row>
    <row r="613" spans="1:7" ht="15.75" customHeight="1" x14ac:dyDescent="0.3">
      <c r="A613" s="19"/>
      <c r="B613" s="19"/>
      <c r="C613" s="19"/>
      <c r="D613" s="19"/>
      <c r="E613" s="19"/>
      <c r="F613" s="19"/>
      <c r="G613" s="19"/>
    </row>
    <row r="614" spans="1:7" ht="15.75" customHeight="1" x14ac:dyDescent="0.3">
      <c r="A614" s="19"/>
      <c r="B614" s="19"/>
      <c r="C614" s="19"/>
      <c r="D614" s="19"/>
      <c r="E614" s="19"/>
      <c r="F614" s="19"/>
      <c r="G614" s="19"/>
    </row>
    <row r="615" spans="1:7" ht="15.75" customHeight="1" x14ac:dyDescent="0.3">
      <c r="A615" s="19"/>
      <c r="B615" s="19"/>
      <c r="C615" s="19"/>
      <c r="D615" s="19"/>
      <c r="E615" s="19"/>
      <c r="F615" s="19"/>
      <c r="G615" s="19"/>
    </row>
    <row r="616" spans="1:7" ht="15.75" customHeight="1" x14ac:dyDescent="0.3">
      <c r="A616" s="19"/>
      <c r="B616" s="19"/>
      <c r="C616" s="19"/>
      <c r="D616" s="19"/>
      <c r="E616" s="19"/>
      <c r="F616" s="19"/>
      <c r="G616" s="19"/>
    </row>
    <row r="617" spans="1:7" ht="15.75" customHeight="1" x14ac:dyDescent="0.3">
      <c r="A617" s="19"/>
      <c r="B617" s="19"/>
      <c r="C617" s="19"/>
      <c r="D617" s="19"/>
      <c r="E617" s="19"/>
      <c r="F617" s="19"/>
      <c r="G617" s="19"/>
    </row>
    <row r="618" spans="1:7" ht="15.75" customHeight="1" x14ac:dyDescent="0.3">
      <c r="A618" s="19"/>
      <c r="B618" s="19"/>
      <c r="C618" s="19"/>
      <c r="D618" s="19"/>
      <c r="E618" s="19"/>
      <c r="F618" s="19"/>
      <c r="G618" s="19"/>
    </row>
    <row r="619" spans="1:7" ht="15.75" customHeight="1" x14ac:dyDescent="0.3">
      <c r="A619" s="19"/>
      <c r="B619" s="19"/>
      <c r="C619" s="19"/>
      <c r="D619" s="19"/>
      <c r="E619" s="19"/>
      <c r="F619" s="19"/>
      <c r="G619" s="19"/>
    </row>
    <row r="620" spans="1:7" ht="15.75" customHeight="1" x14ac:dyDescent="0.3">
      <c r="A620" s="19"/>
      <c r="B620" s="19"/>
      <c r="C620" s="19"/>
      <c r="D620" s="19"/>
      <c r="E620" s="19"/>
      <c r="F620" s="19"/>
      <c r="G620" s="19"/>
    </row>
    <row r="621" spans="1:7" ht="15.75" customHeight="1" x14ac:dyDescent="0.3">
      <c r="A621" s="19"/>
      <c r="B621" s="19"/>
      <c r="C621" s="19"/>
      <c r="D621" s="19"/>
      <c r="E621" s="19"/>
      <c r="F621" s="19"/>
      <c r="G621" s="19"/>
    </row>
    <row r="622" spans="1:7" ht="15.75" customHeight="1" x14ac:dyDescent="0.3">
      <c r="A622" s="19"/>
      <c r="B622" s="19"/>
      <c r="C622" s="19"/>
      <c r="D622" s="19"/>
      <c r="E622" s="19"/>
      <c r="F622" s="19"/>
      <c r="G622" s="19"/>
    </row>
    <row r="623" spans="1:7" ht="15.75" customHeight="1" x14ac:dyDescent="0.3">
      <c r="A623" s="19"/>
      <c r="B623" s="19"/>
      <c r="C623" s="19"/>
      <c r="D623" s="19"/>
      <c r="E623" s="19"/>
      <c r="F623" s="19"/>
      <c r="G623" s="19"/>
    </row>
    <row r="624" spans="1:7" ht="15.75" customHeight="1" x14ac:dyDescent="0.3">
      <c r="A624" s="19"/>
      <c r="B624" s="19"/>
      <c r="C624" s="19"/>
      <c r="D624" s="19"/>
      <c r="E624" s="19"/>
      <c r="F624" s="19"/>
      <c r="G624" s="19"/>
    </row>
    <row r="625" spans="1:7" ht="15.75" customHeight="1" x14ac:dyDescent="0.3">
      <c r="A625" s="19"/>
      <c r="B625" s="19"/>
      <c r="C625" s="19"/>
      <c r="D625" s="19"/>
      <c r="E625" s="19"/>
      <c r="F625" s="19"/>
      <c r="G625" s="19"/>
    </row>
    <row r="626" spans="1:7" ht="15.75" customHeight="1" x14ac:dyDescent="0.3">
      <c r="A626" s="19"/>
      <c r="B626" s="19"/>
      <c r="C626" s="19"/>
      <c r="D626" s="19"/>
      <c r="E626" s="19"/>
      <c r="F626" s="19"/>
      <c r="G626" s="19"/>
    </row>
    <row r="627" spans="1:7" ht="15.75" customHeight="1" x14ac:dyDescent="0.3">
      <c r="A627" s="19"/>
      <c r="B627" s="19"/>
      <c r="C627" s="19"/>
      <c r="D627" s="19"/>
      <c r="E627" s="19"/>
      <c r="F627" s="19"/>
      <c r="G627" s="19"/>
    </row>
    <row r="628" spans="1:7" ht="15.75" customHeight="1" x14ac:dyDescent="0.3">
      <c r="A628" s="19"/>
      <c r="B628" s="19"/>
      <c r="C628" s="19"/>
      <c r="D628" s="19"/>
      <c r="E628" s="19"/>
      <c r="F628" s="19"/>
      <c r="G628" s="19"/>
    </row>
    <row r="629" spans="1:7" ht="15.75" customHeight="1" x14ac:dyDescent="0.3">
      <c r="A629" s="19"/>
      <c r="B629" s="19"/>
      <c r="C629" s="19"/>
      <c r="D629" s="19"/>
      <c r="E629" s="19"/>
      <c r="F629" s="19"/>
      <c r="G629" s="19"/>
    </row>
    <row r="630" spans="1:7" ht="15.75" customHeight="1" x14ac:dyDescent="0.3">
      <c r="A630" s="19"/>
      <c r="B630" s="19"/>
      <c r="C630" s="19"/>
      <c r="D630" s="19"/>
      <c r="E630" s="19"/>
      <c r="F630" s="19"/>
      <c r="G630" s="19"/>
    </row>
    <row r="631" spans="1:7" ht="15.75" customHeight="1" x14ac:dyDescent="0.3">
      <c r="A631" s="19"/>
      <c r="B631" s="19"/>
      <c r="C631" s="19"/>
      <c r="D631" s="19"/>
      <c r="E631" s="19"/>
      <c r="F631" s="19"/>
      <c r="G631" s="19"/>
    </row>
    <row r="632" spans="1:7" ht="15.75" customHeight="1" x14ac:dyDescent="0.3">
      <c r="A632" s="19"/>
      <c r="B632" s="19"/>
      <c r="C632" s="19"/>
      <c r="D632" s="19"/>
      <c r="E632" s="19"/>
      <c r="F632" s="19"/>
      <c r="G632" s="19"/>
    </row>
    <row r="633" spans="1:7" ht="15.75" customHeight="1" x14ac:dyDescent="0.3">
      <c r="A633" s="19"/>
      <c r="B633" s="19"/>
      <c r="C633" s="19"/>
      <c r="D633" s="19"/>
      <c r="E633" s="19"/>
      <c r="F633" s="19"/>
      <c r="G633" s="19"/>
    </row>
    <row r="634" spans="1:7" ht="15.75" customHeight="1" x14ac:dyDescent="0.3">
      <c r="A634" s="19"/>
      <c r="B634" s="19"/>
      <c r="C634" s="19"/>
      <c r="D634" s="19"/>
      <c r="E634" s="19"/>
      <c r="F634" s="19"/>
      <c r="G634" s="19"/>
    </row>
    <row r="635" spans="1:7" ht="15.75" customHeight="1" x14ac:dyDescent="0.3">
      <c r="A635" s="19"/>
      <c r="B635" s="19"/>
      <c r="C635" s="19"/>
      <c r="D635" s="19"/>
      <c r="E635" s="19"/>
      <c r="F635" s="19"/>
      <c r="G635" s="19"/>
    </row>
    <row r="636" spans="1:7" ht="15.75" customHeight="1" x14ac:dyDescent="0.3">
      <c r="A636" s="19"/>
      <c r="B636" s="19"/>
      <c r="C636" s="19"/>
      <c r="D636" s="19"/>
      <c r="E636" s="19"/>
      <c r="F636" s="19"/>
      <c r="G636" s="19"/>
    </row>
    <row r="637" spans="1:7" ht="15.75" customHeight="1" x14ac:dyDescent="0.3">
      <c r="A637" s="19"/>
      <c r="B637" s="19"/>
      <c r="C637" s="19"/>
      <c r="D637" s="19"/>
      <c r="E637" s="19"/>
      <c r="F637" s="19"/>
      <c r="G637" s="19"/>
    </row>
    <row r="638" spans="1:7" ht="15.75" customHeight="1" x14ac:dyDescent="0.3">
      <c r="A638" s="19"/>
      <c r="B638" s="19"/>
      <c r="C638" s="19"/>
      <c r="D638" s="19"/>
      <c r="E638" s="19"/>
      <c r="F638" s="19"/>
      <c r="G638" s="19"/>
    </row>
    <row r="639" spans="1:7" ht="15.75" customHeight="1" x14ac:dyDescent="0.3">
      <c r="A639" s="19"/>
      <c r="B639" s="19"/>
      <c r="C639" s="19"/>
      <c r="D639" s="19"/>
      <c r="E639" s="19"/>
      <c r="F639" s="19"/>
      <c r="G639" s="19"/>
    </row>
    <row r="640" spans="1:7" ht="15.75" customHeight="1" x14ac:dyDescent="0.3">
      <c r="A640" s="19"/>
      <c r="B640" s="19"/>
      <c r="C640" s="19"/>
      <c r="D640" s="19"/>
      <c r="E640" s="19"/>
      <c r="F640" s="19"/>
      <c r="G640" s="19"/>
    </row>
    <row r="641" spans="1:7" ht="15.75" customHeight="1" x14ac:dyDescent="0.3">
      <c r="A641" s="19"/>
      <c r="B641" s="19"/>
      <c r="C641" s="19"/>
      <c r="D641" s="19"/>
      <c r="E641" s="19"/>
      <c r="F641" s="19"/>
      <c r="G641" s="19"/>
    </row>
    <row r="642" spans="1:7" ht="15.75" customHeight="1" x14ac:dyDescent="0.3">
      <c r="A642" s="19"/>
      <c r="B642" s="19"/>
      <c r="C642" s="19"/>
      <c r="D642" s="19"/>
      <c r="E642" s="19"/>
      <c r="F642" s="19"/>
      <c r="G642" s="19"/>
    </row>
    <row r="643" spans="1:7" ht="15.75" customHeight="1" x14ac:dyDescent="0.3">
      <c r="A643" s="19"/>
      <c r="B643" s="19"/>
      <c r="C643" s="19"/>
      <c r="D643" s="19"/>
      <c r="E643" s="19"/>
      <c r="F643" s="19"/>
      <c r="G643" s="19"/>
    </row>
    <row r="644" spans="1:7" ht="15.75" customHeight="1" x14ac:dyDescent="0.3">
      <c r="A644" s="19"/>
      <c r="B644" s="19"/>
      <c r="C644" s="19"/>
      <c r="D644" s="19"/>
      <c r="E644" s="19"/>
      <c r="F644" s="19"/>
      <c r="G644" s="19"/>
    </row>
    <row r="645" spans="1:7" ht="15.75" customHeight="1" x14ac:dyDescent="0.3">
      <c r="A645" s="19"/>
      <c r="B645" s="19"/>
      <c r="C645" s="19"/>
      <c r="D645" s="19"/>
      <c r="E645" s="19"/>
      <c r="F645" s="19"/>
      <c r="G645" s="19"/>
    </row>
    <row r="646" spans="1:7" ht="15.75" customHeight="1" x14ac:dyDescent="0.3">
      <c r="A646" s="19"/>
      <c r="B646" s="19"/>
      <c r="C646" s="19"/>
      <c r="D646" s="19"/>
      <c r="E646" s="19"/>
      <c r="F646" s="19"/>
      <c r="G646" s="19"/>
    </row>
    <row r="647" spans="1:7" ht="15.75" customHeight="1" x14ac:dyDescent="0.3">
      <c r="A647" s="19"/>
      <c r="B647" s="19"/>
      <c r="C647" s="19"/>
      <c r="D647" s="19"/>
      <c r="E647" s="19"/>
      <c r="F647" s="19"/>
      <c r="G647" s="19"/>
    </row>
    <row r="648" spans="1:7" ht="15.75" customHeight="1" x14ac:dyDescent="0.3">
      <c r="A648" s="19"/>
      <c r="B648" s="19"/>
      <c r="C648" s="19"/>
      <c r="D648" s="19"/>
      <c r="E648" s="19"/>
      <c r="F648" s="19"/>
      <c r="G648" s="19"/>
    </row>
    <row r="649" spans="1:7" ht="15.75" customHeight="1" x14ac:dyDescent="0.3">
      <c r="A649" s="19"/>
      <c r="B649" s="19"/>
      <c r="C649" s="19"/>
      <c r="D649" s="19"/>
      <c r="E649" s="19"/>
      <c r="F649" s="19"/>
      <c r="G649" s="19"/>
    </row>
    <row r="650" spans="1:7" ht="15.75" customHeight="1" x14ac:dyDescent="0.3">
      <c r="A650" s="19"/>
      <c r="B650" s="19"/>
      <c r="C650" s="19"/>
      <c r="D650" s="19"/>
      <c r="E650" s="19"/>
      <c r="F650" s="19"/>
      <c r="G650" s="19"/>
    </row>
    <row r="651" spans="1:7" ht="15.75" customHeight="1" x14ac:dyDescent="0.3">
      <c r="A651" s="19"/>
      <c r="B651" s="19"/>
      <c r="C651" s="19"/>
      <c r="D651" s="19"/>
      <c r="E651" s="19"/>
      <c r="F651" s="19"/>
      <c r="G651" s="19"/>
    </row>
    <row r="652" spans="1:7" ht="15.75" customHeight="1" x14ac:dyDescent="0.3">
      <c r="A652" s="19"/>
      <c r="B652" s="19"/>
      <c r="C652" s="19"/>
      <c r="D652" s="19"/>
      <c r="E652" s="19"/>
      <c r="F652" s="19"/>
      <c r="G652" s="19"/>
    </row>
    <row r="653" spans="1:7" ht="15.75" customHeight="1" x14ac:dyDescent="0.3">
      <c r="A653" s="19"/>
      <c r="B653" s="19"/>
      <c r="C653" s="19"/>
      <c r="D653" s="19"/>
      <c r="E653" s="19"/>
      <c r="F653" s="19"/>
      <c r="G653" s="19"/>
    </row>
    <row r="654" spans="1:7" ht="15.75" customHeight="1" x14ac:dyDescent="0.3">
      <c r="A654" s="19"/>
      <c r="B654" s="19"/>
      <c r="C654" s="19"/>
      <c r="D654" s="19"/>
      <c r="E654" s="19"/>
      <c r="F654" s="19"/>
      <c r="G654" s="19"/>
    </row>
    <row r="655" spans="1:7" ht="15.75" customHeight="1" x14ac:dyDescent="0.3">
      <c r="A655" s="19"/>
      <c r="B655" s="19"/>
      <c r="C655" s="19"/>
      <c r="D655" s="19"/>
      <c r="E655" s="19"/>
      <c r="F655" s="19"/>
      <c r="G655" s="19"/>
    </row>
    <row r="656" spans="1:7" ht="15.75" customHeight="1" x14ac:dyDescent="0.3">
      <c r="A656" s="19"/>
      <c r="B656" s="19"/>
      <c r="C656" s="19"/>
      <c r="D656" s="19"/>
      <c r="E656" s="19"/>
      <c r="F656" s="19"/>
      <c r="G656" s="19"/>
    </row>
    <row r="657" spans="1:7" ht="15.75" customHeight="1" x14ac:dyDescent="0.3">
      <c r="A657" s="19"/>
      <c r="B657" s="19"/>
      <c r="C657" s="19"/>
      <c r="D657" s="19"/>
      <c r="E657" s="19"/>
      <c r="F657" s="19"/>
      <c r="G657" s="19"/>
    </row>
    <row r="658" spans="1:7" ht="15.75" customHeight="1" x14ac:dyDescent="0.3">
      <c r="A658" s="19"/>
      <c r="B658" s="19"/>
      <c r="C658" s="19"/>
      <c r="D658" s="19"/>
      <c r="E658" s="19"/>
      <c r="F658" s="19"/>
      <c r="G658" s="19"/>
    </row>
    <row r="659" spans="1:7" ht="15.75" customHeight="1" x14ac:dyDescent="0.3">
      <c r="A659" s="19"/>
      <c r="B659" s="19"/>
      <c r="C659" s="19"/>
      <c r="D659" s="19"/>
      <c r="E659" s="19"/>
      <c r="F659" s="19"/>
      <c r="G659" s="19"/>
    </row>
    <row r="660" spans="1:7" ht="15.75" customHeight="1" x14ac:dyDescent="0.3">
      <c r="A660" s="19"/>
      <c r="B660" s="19"/>
      <c r="C660" s="19"/>
      <c r="D660" s="19"/>
      <c r="E660" s="19"/>
      <c r="F660" s="19"/>
      <c r="G660" s="19"/>
    </row>
    <row r="661" spans="1:7" ht="15.75" customHeight="1" x14ac:dyDescent="0.3">
      <c r="A661" s="19"/>
      <c r="B661" s="19"/>
      <c r="C661" s="19"/>
      <c r="D661" s="19"/>
      <c r="E661" s="19"/>
      <c r="F661" s="19"/>
      <c r="G661" s="19"/>
    </row>
    <row r="662" spans="1:7" ht="15.75" customHeight="1" x14ac:dyDescent="0.3">
      <c r="A662" s="19"/>
      <c r="B662" s="19"/>
      <c r="C662" s="19"/>
      <c r="D662" s="19"/>
      <c r="E662" s="19"/>
      <c r="F662" s="19"/>
      <c r="G662" s="19"/>
    </row>
    <row r="663" spans="1:7" ht="15.75" customHeight="1" x14ac:dyDescent="0.3">
      <c r="A663" s="19"/>
      <c r="B663" s="19"/>
      <c r="C663" s="19"/>
      <c r="D663" s="19"/>
      <c r="E663" s="19"/>
      <c r="F663" s="19"/>
      <c r="G663" s="19"/>
    </row>
    <row r="664" spans="1:7" ht="15.75" customHeight="1" x14ac:dyDescent="0.3">
      <c r="A664" s="19"/>
      <c r="B664" s="19"/>
      <c r="C664" s="19"/>
      <c r="D664" s="19"/>
      <c r="E664" s="19"/>
      <c r="F664" s="19"/>
      <c r="G664" s="19"/>
    </row>
    <row r="665" spans="1:7" ht="15.75" customHeight="1" x14ac:dyDescent="0.3">
      <c r="A665" s="19"/>
      <c r="B665" s="19"/>
      <c r="C665" s="19"/>
      <c r="D665" s="19"/>
      <c r="E665" s="19"/>
      <c r="F665" s="19"/>
      <c r="G665" s="19"/>
    </row>
    <row r="666" spans="1:7" ht="15.75" customHeight="1" x14ac:dyDescent="0.3">
      <c r="A666" s="19"/>
      <c r="B666" s="19"/>
      <c r="C666" s="19"/>
      <c r="D666" s="19"/>
      <c r="E666" s="19"/>
      <c r="F666" s="19"/>
      <c r="G666" s="19"/>
    </row>
    <row r="667" spans="1:7" ht="15.75" customHeight="1" x14ac:dyDescent="0.3">
      <c r="A667" s="19"/>
      <c r="B667" s="19"/>
      <c r="C667" s="19"/>
      <c r="D667" s="19"/>
      <c r="E667" s="19"/>
      <c r="F667" s="19"/>
      <c r="G667" s="19"/>
    </row>
    <row r="668" spans="1:7" ht="15.75" customHeight="1" x14ac:dyDescent="0.3">
      <c r="A668" s="19"/>
      <c r="B668" s="19"/>
      <c r="C668" s="19"/>
      <c r="D668" s="19"/>
      <c r="E668" s="19"/>
      <c r="F668" s="19"/>
      <c r="G668" s="19"/>
    </row>
    <row r="669" spans="1:7" ht="15.75" customHeight="1" x14ac:dyDescent="0.3">
      <c r="A669" s="19"/>
      <c r="B669" s="19"/>
      <c r="C669" s="19"/>
      <c r="D669" s="19"/>
      <c r="E669" s="19"/>
      <c r="F669" s="19"/>
      <c r="G669" s="19"/>
    </row>
    <row r="670" spans="1:7" ht="15.75" customHeight="1" x14ac:dyDescent="0.3">
      <c r="A670" s="19"/>
      <c r="B670" s="19"/>
      <c r="C670" s="19"/>
      <c r="D670" s="19"/>
      <c r="E670" s="19"/>
      <c r="F670" s="19"/>
      <c r="G670" s="19"/>
    </row>
    <row r="671" spans="1:7" ht="15.75" customHeight="1" x14ac:dyDescent="0.3">
      <c r="A671" s="19"/>
      <c r="B671" s="19"/>
      <c r="C671" s="19"/>
      <c r="D671" s="19"/>
      <c r="E671" s="19"/>
      <c r="F671" s="19"/>
      <c r="G671" s="19"/>
    </row>
    <row r="672" spans="1:7" ht="15.75" customHeight="1" x14ac:dyDescent="0.3">
      <c r="A672" s="19"/>
      <c r="B672" s="19"/>
      <c r="C672" s="19"/>
      <c r="D672" s="19"/>
      <c r="E672" s="19"/>
      <c r="F672" s="19"/>
      <c r="G672" s="19"/>
    </row>
    <row r="673" spans="1:7" ht="15.75" customHeight="1" x14ac:dyDescent="0.3">
      <c r="A673" s="19"/>
      <c r="B673" s="19"/>
      <c r="C673" s="19"/>
      <c r="D673" s="19"/>
      <c r="E673" s="19"/>
      <c r="F673" s="19"/>
      <c r="G673" s="19"/>
    </row>
    <row r="674" spans="1:7" ht="15.75" customHeight="1" x14ac:dyDescent="0.3">
      <c r="A674" s="19"/>
      <c r="B674" s="19"/>
      <c r="C674" s="19"/>
      <c r="D674" s="19"/>
      <c r="E674" s="19"/>
      <c r="F674" s="19"/>
      <c r="G674" s="19"/>
    </row>
    <row r="675" spans="1:7" ht="15.75" customHeight="1" x14ac:dyDescent="0.3">
      <c r="A675" s="19"/>
      <c r="B675" s="19"/>
      <c r="C675" s="19"/>
      <c r="D675" s="19"/>
      <c r="E675" s="19"/>
      <c r="F675" s="19"/>
      <c r="G675" s="19"/>
    </row>
    <row r="676" spans="1:7" ht="15.75" customHeight="1" x14ac:dyDescent="0.3">
      <c r="A676" s="19"/>
      <c r="B676" s="19"/>
      <c r="C676" s="19"/>
      <c r="D676" s="19"/>
      <c r="E676" s="19"/>
      <c r="F676" s="19"/>
      <c r="G676" s="19"/>
    </row>
    <row r="677" spans="1:7" ht="15.75" customHeight="1" x14ac:dyDescent="0.3">
      <c r="A677" s="19"/>
      <c r="B677" s="19"/>
      <c r="C677" s="19"/>
      <c r="D677" s="19"/>
      <c r="E677" s="19"/>
      <c r="F677" s="19"/>
      <c r="G677" s="19"/>
    </row>
    <row r="678" spans="1:7" ht="15.75" customHeight="1" x14ac:dyDescent="0.3">
      <c r="A678" s="19"/>
      <c r="B678" s="19"/>
      <c r="C678" s="19"/>
      <c r="D678" s="19"/>
      <c r="E678" s="19"/>
      <c r="F678" s="19"/>
      <c r="G678" s="19"/>
    </row>
    <row r="679" spans="1:7" ht="15.75" customHeight="1" x14ac:dyDescent="0.3">
      <c r="A679" s="19"/>
      <c r="B679" s="19"/>
      <c r="C679" s="19"/>
      <c r="D679" s="19"/>
      <c r="E679" s="19"/>
      <c r="F679" s="19"/>
      <c r="G679" s="19"/>
    </row>
    <row r="680" spans="1:7" ht="15.75" customHeight="1" x14ac:dyDescent="0.3">
      <c r="A680" s="19"/>
      <c r="B680" s="19"/>
      <c r="C680" s="19"/>
      <c r="D680" s="19"/>
      <c r="E680" s="19"/>
      <c r="F680" s="19"/>
      <c r="G680" s="19"/>
    </row>
    <row r="681" spans="1:7" ht="15.75" customHeight="1" x14ac:dyDescent="0.3">
      <c r="A681" s="19"/>
      <c r="B681" s="19"/>
      <c r="C681" s="19"/>
      <c r="D681" s="19"/>
      <c r="E681" s="19"/>
      <c r="F681" s="19"/>
      <c r="G681" s="19"/>
    </row>
    <row r="682" spans="1:7" ht="15.75" customHeight="1" x14ac:dyDescent="0.3">
      <c r="A682" s="19"/>
      <c r="B682" s="19"/>
      <c r="C682" s="19"/>
      <c r="D682" s="19"/>
      <c r="E682" s="19"/>
      <c r="F682" s="19"/>
      <c r="G682" s="19"/>
    </row>
    <row r="683" spans="1:7" ht="15.75" customHeight="1" x14ac:dyDescent="0.3">
      <c r="A683" s="19"/>
      <c r="B683" s="19"/>
      <c r="C683" s="19"/>
      <c r="D683" s="19"/>
      <c r="E683" s="19"/>
      <c r="F683" s="19"/>
      <c r="G683" s="19"/>
    </row>
    <row r="684" spans="1:7" ht="15.75" customHeight="1" x14ac:dyDescent="0.3">
      <c r="A684" s="19"/>
      <c r="B684" s="19"/>
      <c r="C684" s="19"/>
      <c r="D684" s="19"/>
      <c r="E684" s="19"/>
      <c r="F684" s="19"/>
      <c r="G684" s="19"/>
    </row>
    <row r="685" spans="1:7" ht="15.75" customHeight="1" x14ac:dyDescent="0.3">
      <c r="A685" s="19"/>
      <c r="B685" s="19"/>
      <c r="C685" s="19"/>
      <c r="D685" s="19"/>
      <c r="E685" s="19"/>
      <c r="F685" s="19"/>
      <c r="G685" s="19"/>
    </row>
    <row r="686" spans="1:7" ht="15.75" customHeight="1" x14ac:dyDescent="0.3">
      <c r="A686" s="19"/>
      <c r="B686" s="19"/>
      <c r="C686" s="19"/>
      <c r="D686" s="19"/>
      <c r="E686" s="19"/>
      <c r="F686" s="19"/>
      <c r="G686" s="19"/>
    </row>
    <row r="687" spans="1:7" ht="15.75" customHeight="1" x14ac:dyDescent="0.3">
      <c r="A687" s="19"/>
      <c r="B687" s="19"/>
      <c r="C687" s="19"/>
      <c r="D687" s="19"/>
      <c r="E687" s="19"/>
      <c r="F687" s="19"/>
      <c r="G687" s="19"/>
    </row>
    <row r="688" spans="1:7" ht="15.75" customHeight="1" x14ac:dyDescent="0.3">
      <c r="A688" s="19"/>
      <c r="B688" s="19"/>
      <c r="C688" s="19"/>
      <c r="D688" s="19"/>
      <c r="E688" s="19"/>
      <c r="F688" s="19"/>
      <c r="G688" s="19"/>
    </row>
    <row r="689" spans="1:7" ht="15.75" customHeight="1" x14ac:dyDescent="0.3">
      <c r="A689" s="19"/>
      <c r="B689" s="19"/>
      <c r="C689" s="19"/>
      <c r="D689" s="19"/>
      <c r="E689" s="19"/>
      <c r="F689" s="19"/>
      <c r="G689" s="19"/>
    </row>
    <row r="690" spans="1:7" ht="15.75" customHeight="1" x14ac:dyDescent="0.3">
      <c r="A690" s="19"/>
      <c r="B690" s="19"/>
      <c r="C690" s="19"/>
      <c r="D690" s="19"/>
      <c r="E690" s="19"/>
      <c r="F690" s="19"/>
      <c r="G690" s="19"/>
    </row>
    <row r="691" spans="1:7" ht="15.75" customHeight="1" x14ac:dyDescent="0.3">
      <c r="A691" s="19"/>
      <c r="B691" s="19"/>
      <c r="C691" s="19"/>
      <c r="D691" s="19"/>
      <c r="E691" s="19"/>
      <c r="F691" s="19"/>
      <c r="G691" s="19"/>
    </row>
    <row r="692" spans="1:7" ht="15.75" customHeight="1" x14ac:dyDescent="0.3">
      <c r="A692" s="19"/>
      <c r="B692" s="19"/>
      <c r="C692" s="19"/>
      <c r="D692" s="19"/>
      <c r="E692" s="19"/>
      <c r="F692" s="19"/>
      <c r="G692" s="19"/>
    </row>
    <row r="693" spans="1:7" ht="15.75" customHeight="1" x14ac:dyDescent="0.3">
      <c r="A693" s="19"/>
      <c r="B693" s="19"/>
      <c r="C693" s="19"/>
      <c r="D693" s="19"/>
      <c r="E693" s="19"/>
      <c r="F693" s="19"/>
      <c r="G693" s="19"/>
    </row>
    <row r="694" spans="1:7" ht="15.75" customHeight="1" x14ac:dyDescent="0.3">
      <c r="A694" s="19"/>
      <c r="B694" s="19"/>
      <c r="C694" s="19"/>
      <c r="D694" s="19"/>
      <c r="E694" s="19"/>
      <c r="F694" s="19"/>
      <c r="G694" s="19"/>
    </row>
    <row r="695" spans="1:7" ht="15.75" customHeight="1" x14ac:dyDescent="0.3">
      <c r="A695" s="19"/>
      <c r="B695" s="19"/>
      <c r="C695" s="19"/>
      <c r="D695" s="19"/>
      <c r="E695" s="19"/>
      <c r="F695" s="19"/>
      <c r="G695" s="19"/>
    </row>
    <row r="696" spans="1:7" ht="15.75" customHeight="1" x14ac:dyDescent="0.3">
      <c r="A696" s="19"/>
      <c r="B696" s="19"/>
      <c r="C696" s="19"/>
      <c r="D696" s="19"/>
      <c r="E696" s="19"/>
      <c r="F696" s="19"/>
      <c r="G696" s="19"/>
    </row>
    <row r="697" spans="1:7" ht="15.75" customHeight="1" x14ac:dyDescent="0.3">
      <c r="A697" s="19"/>
      <c r="B697" s="19"/>
      <c r="C697" s="19"/>
      <c r="D697" s="19"/>
      <c r="E697" s="19"/>
      <c r="F697" s="19"/>
      <c r="G697" s="19"/>
    </row>
    <row r="698" spans="1:7" ht="15.75" customHeight="1" x14ac:dyDescent="0.3">
      <c r="A698" s="19"/>
      <c r="B698" s="19"/>
      <c r="C698" s="19"/>
      <c r="D698" s="19"/>
      <c r="E698" s="19"/>
      <c r="F698" s="19"/>
      <c r="G698" s="19"/>
    </row>
    <row r="699" spans="1:7" ht="15.75" customHeight="1" x14ac:dyDescent="0.3">
      <c r="A699" s="19"/>
      <c r="B699" s="19"/>
      <c r="C699" s="19"/>
      <c r="D699" s="19"/>
      <c r="E699" s="19"/>
      <c r="F699" s="19"/>
      <c r="G699" s="19"/>
    </row>
    <row r="700" spans="1:7" ht="15.75" customHeight="1" x14ac:dyDescent="0.3">
      <c r="A700" s="19"/>
      <c r="B700" s="19"/>
      <c r="C700" s="19"/>
      <c r="D700" s="19"/>
      <c r="E700" s="19"/>
      <c r="F700" s="19"/>
      <c r="G700" s="19"/>
    </row>
    <row r="701" spans="1:7" ht="15.75" customHeight="1" x14ac:dyDescent="0.3">
      <c r="A701" s="19"/>
      <c r="B701" s="19"/>
      <c r="C701" s="19"/>
      <c r="D701" s="19"/>
      <c r="E701" s="19"/>
      <c r="F701" s="19"/>
      <c r="G701" s="19"/>
    </row>
    <row r="702" spans="1:7" ht="15.75" customHeight="1" x14ac:dyDescent="0.3">
      <c r="A702" s="19"/>
      <c r="B702" s="19"/>
      <c r="C702" s="19"/>
      <c r="D702" s="19"/>
      <c r="E702" s="19"/>
      <c r="F702" s="19"/>
      <c r="G702" s="19"/>
    </row>
    <row r="703" spans="1:7" ht="15.75" customHeight="1" x14ac:dyDescent="0.3">
      <c r="A703" s="19"/>
      <c r="B703" s="19"/>
      <c r="C703" s="19"/>
      <c r="D703" s="19"/>
      <c r="E703" s="19"/>
      <c r="F703" s="19"/>
      <c r="G703" s="19"/>
    </row>
    <row r="704" spans="1:7" ht="15.75" customHeight="1" x14ac:dyDescent="0.3">
      <c r="A704" s="19"/>
      <c r="B704" s="19"/>
      <c r="C704" s="19"/>
      <c r="D704" s="19"/>
      <c r="E704" s="19"/>
      <c r="F704" s="19"/>
      <c r="G704" s="19"/>
    </row>
    <row r="705" spans="1:7" ht="15.75" customHeight="1" x14ac:dyDescent="0.3">
      <c r="A705" s="19"/>
      <c r="B705" s="19"/>
      <c r="C705" s="19"/>
      <c r="D705" s="19"/>
      <c r="E705" s="19"/>
      <c r="F705" s="19"/>
      <c r="G705" s="19"/>
    </row>
    <row r="706" spans="1:7" ht="15.75" customHeight="1" x14ac:dyDescent="0.3">
      <c r="A706" s="19"/>
      <c r="B706" s="19"/>
      <c r="C706" s="19"/>
      <c r="D706" s="19"/>
      <c r="E706" s="19"/>
      <c r="F706" s="19"/>
      <c r="G706" s="19"/>
    </row>
    <row r="707" spans="1:7" ht="15.75" customHeight="1" x14ac:dyDescent="0.3">
      <c r="A707" s="19"/>
      <c r="B707" s="19"/>
      <c r="C707" s="19"/>
      <c r="D707" s="19"/>
      <c r="E707" s="19"/>
      <c r="F707" s="19"/>
      <c r="G707" s="19"/>
    </row>
    <row r="708" spans="1:7" ht="15.75" customHeight="1" x14ac:dyDescent="0.3">
      <c r="A708" s="19"/>
      <c r="B708" s="19"/>
      <c r="C708" s="19"/>
      <c r="D708" s="19"/>
      <c r="E708" s="19"/>
      <c r="F708" s="19"/>
      <c r="G708" s="19"/>
    </row>
    <row r="709" spans="1:7" ht="15.75" customHeight="1" x14ac:dyDescent="0.3">
      <c r="A709" s="19"/>
      <c r="B709" s="19"/>
      <c r="C709" s="19"/>
      <c r="D709" s="19"/>
      <c r="E709" s="19"/>
      <c r="F709" s="19"/>
      <c r="G709" s="19"/>
    </row>
    <row r="710" spans="1:7" ht="15.75" customHeight="1" x14ac:dyDescent="0.3">
      <c r="A710" s="19"/>
      <c r="B710" s="19"/>
      <c r="C710" s="19"/>
      <c r="D710" s="19"/>
      <c r="E710" s="19"/>
      <c r="F710" s="19"/>
      <c r="G710" s="19"/>
    </row>
    <row r="711" spans="1:7" ht="15.75" customHeight="1" x14ac:dyDescent="0.3">
      <c r="A711" s="19"/>
      <c r="B711" s="19"/>
      <c r="C711" s="19"/>
      <c r="D711" s="19"/>
      <c r="E711" s="19"/>
      <c r="F711" s="19"/>
      <c r="G711" s="19"/>
    </row>
    <row r="712" spans="1:7" ht="15.75" customHeight="1" x14ac:dyDescent="0.3">
      <c r="A712" s="19"/>
      <c r="B712" s="19"/>
      <c r="C712" s="19"/>
      <c r="D712" s="19"/>
      <c r="E712" s="19"/>
      <c r="F712" s="19"/>
      <c r="G712" s="19"/>
    </row>
    <row r="713" spans="1:7" ht="15.75" customHeight="1" x14ac:dyDescent="0.3">
      <c r="A713" s="19"/>
      <c r="B713" s="19"/>
      <c r="C713" s="19"/>
      <c r="D713" s="19"/>
      <c r="E713" s="19"/>
      <c r="F713" s="19"/>
      <c r="G713" s="19"/>
    </row>
    <row r="714" spans="1:7" ht="15.75" customHeight="1" x14ac:dyDescent="0.3">
      <c r="A714" s="19"/>
      <c r="B714" s="19"/>
      <c r="C714" s="19"/>
      <c r="D714" s="19"/>
      <c r="E714" s="19"/>
      <c r="F714" s="19"/>
      <c r="G714" s="19"/>
    </row>
    <row r="715" spans="1:7" ht="15.75" customHeight="1" x14ac:dyDescent="0.3">
      <c r="A715" s="19"/>
      <c r="B715" s="19"/>
      <c r="C715" s="19"/>
      <c r="D715" s="19"/>
      <c r="E715" s="19"/>
      <c r="F715" s="19"/>
      <c r="G715" s="19"/>
    </row>
    <row r="716" spans="1:7" ht="15.75" customHeight="1" x14ac:dyDescent="0.3">
      <c r="A716" s="19"/>
      <c r="B716" s="19"/>
      <c r="C716" s="19"/>
      <c r="D716" s="19"/>
      <c r="E716" s="19"/>
      <c r="F716" s="19"/>
      <c r="G716" s="19"/>
    </row>
    <row r="717" spans="1:7" ht="15.75" customHeight="1" x14ac:dyDescent="0.3">
      <c r="A717" s="19"/>
      <c r="B717" s="19"/>
      <c r="C717" s="19"/>
      <c r="D717" s="19"/>
      <c r="E717" s="19"/>
      <c r="F717" s="19"/>
      <c r="G717" s="19"/>
    </row>
    <row r="718" spans="1:7" ht="15.75" customHeight="1" x14ac:dyDescent="0.3">
      <c r="A718" s="19"/>
      <c r="B718" s="19"/>
      <c r="C718" s="19"/>
      <c r="D718" s="19"/>
      <c r="E718" s="19"/>
      <c r="F718" s="19"/>
      <c r="G718" s="19"/>
    </row>
    <row r="719" spans="1:7" ht="15.75" customHeight="1" x14ac:dyDescent="0.3">
      <c r="A719" s="19"/>
      <c r="B719" s="19"/>
      <c r="C719" s="19"/>
      <c r="D719" s="19"/>
      <c r="E719" s="19"/>
      <c r="F719" s="19"/>
      <c r="G719" s="19"/>
    </row>
    <row r="720" spans="1:7" ht="15.75" customHeight="1" x14ac:dyDescent="0.3">
      <c r="A720" s="19"/>
      <c r="B720" s="19"/>
      <c r="C720" s="19"/>
      <c r="D720" s="19"/>
      <c r="E720" s="19"/>
      <c r="F720" s="19"/>
      <c r="G720" s="19"/>
    </row>
    <row r="721" spans="1:7" ht="15.75" customHeight="1" x14ac:dyDescent="0.3">
      <c r="A721" s="19"/>
      <c r="B721" s="19"/>
      <c r="C721" s="19"/>
      <c r="D721" s="19"/>
      <c r="E721" s="19"/>
      <c r="F721" s="19"/>
      <c r="G721" s="19"/>
    </row>
    <row r="722" spans="1:7" ht="15.75" customHeight="1" x14ac:dyDescent="0.3">
      <c r="A722" s="19"/>
      <c r="B722" s="19"/>
      <c r="C722" s="19"/>
      <c r="D722" s="19"/>
      <c r="E722" s="19"/>
      <c r="F722" s="19"/>
      <c r="G722" s="19"/>
    </row>
    <row r="723" spans="1:7" ht="15.75" customHeight="1" x14ac:dyDescent="0.3">
      <c r="A723" s="19"/>
      <c r="B723" s="19"/>
      <c r="C723" s="19"/>
      <c r="D723" s="19"/>
      <c r="E723" s="19"/>
      <c r="F723" s="19"/>
      <c r="G723" s="19"/>
    </row>
    <row r="724" spans="1:7" ht="15.75" customHeight="1" x14ac:dyDescent="0.3">
      <c r="A724" s="19"/>
      <c r="B724" s="19"/>
      <c r="C724" s="19"/>
      <c r="D724" s="19"/>
      <c r="E724" s="19"/>
      <c r="F724" s="19"/>
      <c r="G724" s="19"/>
    </row>
    <row r="725" spans="1:7" ht="15.75" customHeight="1" x14ac:dyDescent="0.3">
      <c r="A725" s="19"/>
      <c r="B725" s="19"/>
      <c r="C725" s="19"/>
      <c r="D725" s="19"/>
      <c r="E725" s="19"/>
      <c r="F725" s="19"/>
      <c r="G725" s="19"/>
    </row>
    <row r="726" spans="1:7" ht="15.75" customHeight="1" x14ac:dyDescent="0.3">
      <c r="A726" s="19"/>
      <c r="B726" s="19"/>
      <c r="C726" s="19"/>
      <c r="D726" s="19"/>
      <c r="E726" s="19"/>
      <c r="F726" s="19"/>
      <c r="G726" s="19"/>
    </row>
    <row r="727" spans="1:7" ht="15.75" customHeight="1" x14ac:dyDescent="0.3">
      <c r="A727" s="19"/>
      <c r="B727" s="19"/>
      <c r="C727" s="19"/>
      <c r="D727" s="19"/>
      <c r="E727" s="19"/>
      <c r="F727" s="19"/>
      <c r="G727" s="19"/>
    </row>
    <row r="728" spans="1:7" ht="15.75" customHeight="1" x14ac:dyDescent="0.3">
      <c r="A728" s="19"/>
      <c r="B728" s="19"/>
      <c r="C728" s="19"/>
      <c r="D728" s="19"/>
      <c r="E728" s="19"/>
      <c r="F728" s="19"/>
      <c r="G728" s="19"/>
    </row>
    <row r="729" spans="1:7" ht="15.75" customHeight="1" x14ac:dyDescent="0.3">
      <c r="A729" s="19"/>
      <c r="B729" s="19"/>
      <c r="C729" s="19"/>
      <c r="D729" s="19"/>
      <c r="E729" s="19"/>
      <c r="F729" s="19"/>
      <c r="G729" s="19"/>
    </row>
    <row r="730" spans="1:7" ht="15.75" customHeight="1" x14ac:dyDescent="0.3">
      <c r="A730" s="19"/>
      <c r="B730" s="19"/>
      <c r="C730" s="19"/>
      <c r="D730" s="19"/>
      <c r="E730" s="19"/>
      <c r="F730" s="19"/>
      <c r="G730" s="19"/>
    </row>
    <row r="731" spans="1:7" ht="15.75" customHeight="1" x14ac:dyDescent="0.3">
      <c r="A731" s="19"/>
      <c r="B731" s="19"/>
      <c r="C731" s="19"/>
      <c r="D731" s="19"/>
      <c r="E731" s="19"/>
      <c r="F731" s="19"/>
      <c r="G731" s="19"/>
    </row>
    <row r="732" spans="1:7" ht="15.75" customHeight="1" x14ac:dyDescent="0.3">
      <c r="A732" s="19"/>
      <c r="B732" s="19"/>
      <c r="C732" s="19"/>
      <c r="D732" s="19"/>
      <c r="E732" s="19"/>
      <c r="F732" s="19"/>
      <c r="G732" s="19"/>
    </row>
    <row r="733" spans="1:7" ht="15.75" customHeight="1" x14ac:dyDescent="0.3">
      <c r="A733" s="19"/>
      <c r="B733" s="19"/>
      <c r="C733" s="19"/>
      <c r="D733" s="19"/>
      <c r="E733" s="19"/>
      <c r="F733" s="19"/>
      <c r="G733" s="19"/>
    </row>
    <row r="734" spans="1:7" ht="15.75" customHeight="1" x14ac:dyDescent="0.3">
      <c r="A734" s="19"/>
      <c r="B734" s="19"/>
      <c r="C734" s="19"/>
      <c r="D734" s="19"/>
      <c r="E734" s="19"/>
      <c r="F734" s="19"/>
      <c r="G734" s="19"/>
    </row>
    <row r="735" spans="1:7" ht="15.75" customHeight="1" x14ac:dyDescent="0.3">
      <c r="A735" s="19"/>
      <c r="B735" s="19"/>
      <c r="C735" s="19"/>
      <c r="D735" s="19"/>
      <c r="E735" s="19"/>
      <c r="F735" s="19"/>
      <c r="G735" s="19"/>
    </row>
    <row r="736" spans="1:7" ht="15.75" customHeight="1" x14ac:dyDescent="0.3">
      <c r="A736" s="19"/>
      <c r="B736" s="19"/>
      <c r="C736" s="19"/>
      <c r="D736" s="19"/>
      <c r="E736" s="19"/>
      <c r="F736" s="19"/>
      <c r="G736" s="19"/>
    </row>
    <row r="737" spans="1:7" ht="15.75" customHeight="1" x14ac:dyDescent="0.3">
      <c r="A737" s="19"/>
      <c r="B737" s="19"/>
      <c r="C737" s="19"/>
      <c r="D737" s="19"/>
      <c r="E737" s="19"/>
      <c r="F737" s="19"/>
      <c r="G737" s="19"/>
    </row>
    <row r="738" spans="1:7" ht="15.75" customHeight="1" x14ac:dyDescent="0.3">
      <c r="A738" s="19"/>
      <c r="B738" s="19"/>
      <c r="C738" s="19"/>
      <c r="D738" s="19"/>
      <c r="E738" s="19"/>
      <c r="F738" s="19"/>
      <c r="G738" s="19"/>
    </row>
    <row r="739" spans="1:7" ht="15.75" customHeight="1" x14ac:dyDescent="0.3">
      <c r="A739" s="19"/>
      <c r="B739" s="19"/>
      <c r="C739" s="19"/>
      <c r="D739" s="19"/>
      <c r="E739" s="19"/>
      <c r="F739" s="19"/>
      <c r="G739" s="19"/>
    </row>
    <row r="740" spans="1:7" ht="15.75" customHeight="1" x14ac:dyDescent="0.3">
      <c r="A740" s="19"/>
      <c r="B740" s="19"/>
      <c r="C740" s="19"/>
      <c r="D740" s="19"/>
      <c r="E740" s="19"/>
      <c r="F740" s="19"/>
      <c r="G740" s="19"/>
    </row>
    <row r="741" spans="1:7" ht="15.75" customHeight="1" x14ac:dyDescent="0.3">
      <c r="A741" s="19"/>
      <c r="B741" s="19"/>
      <c r="C741" s="19"/>
      <c r="D741" s="19"/>
      <c r="E741" s="19"/>
      <c r="F741" s="19"/>
      <c r="G741" s="19"/>
    </row>
    <row r="742" spans="1:7" ht="15.75" customHeight="1" x14ac:dyDescent="0.3">
      <c r="A742" s="19"/>
      <c r="B742" s="19"/>
      <c r="C742" s="19"/>
      <c r="D742" s="19"/>
      <c r="E742" s="19"/>
      <c r="F742" s="19"/>
      <c r="G742" s="19"/>
    </row>
    <row r="743" spans="1:7" ht="15.75" customHeight="1" x14ac:dyDescent="0.3">
      <c r="A743" s="19"/>
      <c r="B743" s="19"/>
      <c r="C743" s="19"/>
      <c r="D743" s="19"/>
      <c r="E743" s="19"/>
      <c r="F743" s="19"/>
      <c r="G743" s="19"/>
    </row>
    <row r="744" spans="1:7" ht="15.75" customHeight="1" x14ac:dyDescent="0.3">
      <c r="A744" s="19"/>
      <c r="B744" s="19"/>
      <c r="C744" s="19"/>
      <c r="D744" s="19"/>
      <c r="E744" s="19"/>
      <c r="F744" s="19"/>
      <c r="G744" s="19"/>
    </row>
    <row r="745" spans="1:7" ht="15.75" customHeight="1" x14ac:dyDescent="0.3">
      <c r="A745" s="19"/>
      <c r="B745" s="19"/>
      <c r="C745" s="19"/>
      <c r="D745" s="19"/>
      <c r="E745" s="19"/>
      <c r="F745" s="19"/>
      <c r="G745" s="19"/>
    </row>
    <row r="746" spans="1:7" ht="15.75" customHeight="1" x14ac:dyDescent="0.3">
      <c r="A746" s="19"/>
      <c r="B746" s="19"/>
      <c r="C746" s="19"/>
      <c r="D746" s="19"/>
      <c r="E746" s="19"/>
      <c r="F746" s="19"/>
      <c r="G746" s="19"/>
    </row>
    <row r="747" spans="1:7" ht="15.75" customHeight="1" x14ac:dyDescent="0.3">
      <c r="A747" s="19"/>
      <c r="B747" s="19"/>
      <c r="C747" s="19"/>
      <c r="D747" s="19"/>
      <c r="E747" s="19"/>
      <c r="F747" s="19"/>
      <c r="G747" s="19"/>
    </row>
    <row r="748" spans="1:7" ht="15.75" customHeight="1" x14ac:dyDescent="0.3">
      <c r="A748" s="19"/>
      <c r="B748" s="19"/>
      <c r="C748" s="19"/>
      <c r="D748" s="19"/>
      <c r="E748" s="19"/>
      <c r="F748" s="19"/>
      <c r="G748" s="19"/>
    </row>
    <row r="749" spans="1:7" ht="15.75" customHeight="1" x14ac:dyDescent="0.3">
      <c r="A749" s="19"/>
      <c r="B749" s="19"/>
      <c r="C749" s="19"/>
      <c r="D749" s="19"/>
      <c r="E749" s="19"/>
      <c r="F749" s="19"/>
      <c r="G749" s="19"/>
    </row>
    <row r="750" spans="1:7" ht="15.75" customHeight="1" x14ac:dyDescent="0.3">
      <c r="A750" s="19"/>
      <c r="B750" s="19"/>
      <c r="C750" s="19"/>
      <c r="D750" s="19"/>
      <c r="E750" s="19"/>
      <c r="F750" s="19"/>
      <c r="G750" s="19"/>
    </row>
    <row r="751" spans="1:7" ht="15.75" customHeight="1" x14ac:dyDescent="0.3">
      <c r="A751" s="19"/>
      <c r="B751" s="19"/>
      <c r="C751" s="19"/>
      <c r="D751" s="19"/>
      <c r="E751" s="19"/>
      <c r="F751" s="19"/>
      <c r="G751" s="19"/>
    </row>
    <row r="752" spans="1:7" ht="15.75" customHeight="1" x14ac:dyDescent="0.3">
      <c r="A752" s="19"/>
      <c r="B752" s="19"/>
      <c r="C752" s="19"/>
      <c r="D752" s="19"/>
      <c r="E752" s="19"/>
      <c r="F752" s="19"/>
      <c r="G752" s="19"/>
    </row>
    <row r="753" spans="1:7" ht="15.75" customHeight="1" x14ac:dyDescent="0.3">
      <c r="A753" s="19"/>
      <c r="B753" s="19"/>
      <c r="C753" s="19"/>
      <c r="D753" s="19"/>
      <c r="E753" s="19"/>
      <c r="F753" s="19"/>
      <c r="G753" s="19"/>
    </row>
    <row r="754" spans="1:7" ht="15.75" customHeight="1" x14ac:dyDescent="0.3">
      <c r="A754" s="19"/>
      <c r="B754" s="19"/>
      <c r="C754" s="19"/>
      <c r="D754" s="19"/>
      <c r="E754" s="19"/>
      <c r="F754" s="19"/>
      <c r="G754" s="19"/>
    </row>
    <row r="755" spans="1:7" ht="15.75" customHeight="1" x14ac:dyDescent="0.3">
      <c r="A755" s="19"/>
      <c r="B755" s="19"/>
      <c r="C755" s="19"/>
      <c r="D755" s="19"/>
      <c r="E755" s="19"/>
      <c r="F755" s="19"/>
      <c r="G755" s="19"/>
    </row>
    <row r="756" spans="1:7" ht="15.75" customHeight="1" x14ac:dyDescent="0.3">
      <c r="A756" s="19"/>
      <c r="B756" s="19"/>
      <c r="C756" s="19"/>
      <c r="D756" s="19"/>
      <c r="E756" s="19"/>
      <c r="F756" s="19"/>
      <c r="G756" s="19"/>
    </row>
    <row r="757" spans="1:7" ht="15.75" customHeight="1" x14ac:dyDescent="0.3">
      <c r="A757" s="19"/>
      <c r="B757" s="19"/>
      <c r="C757" s="19"/>
      <c r="D757" s="19"/>
      <c r="E757" s="19"/>
      <c r="F757" s="19"/>
      <c r="G757" s="19"/>
    </row>
    <row r="758" spans="1:7" ht="15.75" customHeight="1" x14ac:dyDescent="0.3">
      <c r="A758" s="19"/>
      <c r="B758" s="19"/>
      <c r="C758" s="19"/>
      <c r="D758" s="19"/>
      <c r="E758" s="19"/>
      <c r="F758" s="19"/>
      <c r="G758" s="19"/>
    </row>
    <row r="759" spans="1:7" ht="15.75" customHeight="1" x14ac:dyDescent="0.3">
      <c r="A759" s="19"/>
      <c r="B759" s="19"/>
      <c r="C759" s="19"/>
      <c r="D759" s="19"/>
      <c r="E759" s="19"/>
      <c r="F759" s="19"/>
      <c r="G759" s="19"/>
    </row>
    <row r="760" spans="1:7" ht="15.75" customHeight="1" x14ac:dyDescent="0.3">
      <c r="A760" s="19"/>
      <c r="B760" s="19"/>
      <c r="C760" s="19"/>
      <c r="D760" s="19"/>
      <c r="E760" s="19"/>
      <c r="F760" s="19"/>
      <c r="G760" s="19"/>
    </row>
    <row r="761" spans="1:7" ht="15.75" customHeight="1" x14ac:dyDescent="0.3">
      <c r="A761" s="19"/>
      <c r="B761" s="19"/>
      <c r="C761" s="19"/>
      <c r="D761" s="19"/>
      <c r="E761" s="19"/>
      <c r="F761" s="19"/>
      <c r="G761" s="19"/>
    </row>
    <row r="762" spans="1:7" ht="15.75" customHeight="1" x14ac:dyDescent="0.3">
      <c r="A762" s="19"/>
      <c r="B762" s="19"/>
      <c r="C762" s="19"/>
      <c r="D762" s="19"/>
      <c r="E762" s="19"/>
      <c r="F762" s="19"/>
      <c r="G762" s="19"/>
    </row>
    <row r="763" spans="1:7" ht="15.75" customHeight="1" x14ac:dyDescent="0.3">
      <c r="A763" s="19"/>
      <c r="B763" s="19"/>
      <c r="C763" s="19"/>
      <c r="D763" s="19"/>
      <c r="E763" s="19"/>
      <c r="F763" s="19"/>
      <c r="G763" s="19"/>
    </row>
    <row r="764" spans="1:7" ht="15.75" customHeight="1" x14ac:dyDescent="0.3">
      <c r="A764" s="19"/>
      <c r="B764" s="19"/>
      <c r="C764" s="19"/>
      <c r="D764" s="19"/>
      <c r="E764" s="19"/>
      <c r="F764" s="19"/>
      <c r="G764" s="19"/>
    </row>
    <row r="765" spans="1:7" ht="15.75" customHeight="1" x14ac:dyDescent="0.3">
      <c r="A765" s="19"/>
      <c r="B765" s="19"/>
      <c r="C765" s="19"/>
      <c r="D765" s="19"/>
      <c r="E765" s="19"/>
      <c r="F765" s="19"/>
      <c r="G765" s="19"/>
    </row>
    <row r="766" spans="1:7" ht="15.75" customHeight="1" x14ac:dyDescent="0.3">
      <c r="A766" s="19"/>
      <c r="B766" s="19"/>
      <c r="C766" s="19"/>
      <c r="D766" s="19"/>
      <c r="E766" s="19"/>
      <c r="F766" s="19"/>
      <c r="G766" s="19"/>
    </row>
    <row r="767" spans="1:7" ht="15.75" customHeight="1" x14ac:dyDescent="0.3">
      <c r="A767" s="19"/>
      <c r="B767" s="19"/>
      <c r="C767" s="19"/>
      <c r="D767" s="19"/>
      <c r="E767" s="19"/>
      <c r="F767" s="19"/>
      <c r="G767" s="19"/>
    </row>
    <row r="768" spans="1:7" ht="15.75" customHeight="1" x14ac:dyDescent="0.3">
      <c r="A768" s="19"/>
      <c r="B768" s="19"/>
      <c r="C768" s="19"/>
      <c r="D768" s="19"/>
      <c r="E768" s="19"/>
      <c r="F768" s="19"/>
      <c r="G768" s="19"/>
    </row>
    <row r="769" spans="1:7" ht="15.75" customHeight="1" x14ac:dyDescent="0.3">
      <c r="A769" s="19"/>
      <c r="B769" s="19"/>
      <c r="C769" s="19"/>
      <c r="D769" s="19"/>
      <c r="E769" s="19"/>
      <c r="F769" s="19"/>
      <c r="G769" s="19"/>
    </row>
    <row r="770" spans="1:7" ht="15.75" customHeight="1" x14ac:dyDescent="0.3">
      <c r="A770" s="19"/>
      <c r="B770" s="19"/>
      <c r="C770" s="19"/>
      <c r="D770" s="19"/>
      <c r="E770" s="19"/>
      <c r="F770" s="19"/>
      <c r="G770" s="19"/>
    </row>
    <row r="771" spans="1:7" ht="15.75" customHeight="1" x14ac:dyDescent="0.3">
      <c r="A771" s="19"/>
      <c r="B771" s="19"/>
      <c r="C771" s="19"/>
      <c r="D771" s="19"/>
      <c r="E771" s="19"/>
      <c r="F771" s="19"/>
      <c r="G771" s="19"/>
    </row>
    <row r="772" spans="1:7" ht="15.75" customHeight="1" x14ac:dyDescent="0.3">
      <c r="A772" s="19"/>
      <c r="B772" s="19"/>
      <c r="C772" s="19"/>
      <c r="D772" s="19"/>
      <c r="E772" s="19"/>
      <c r="F772" s="19"/>
      <c r="G772" s="19"/>
    </row>
    <row r="773" spans="1:7" ht="15.75" customHeight="1" x14ac:dyDescent="0.3">
      <c r="A773" s="19"/>
      <c r="B773" s="19"/>
      <c r="C773" s="19"/>
      <c r="D773" s="19"/>
      <c r="E773" s="19"/>
      <c r="F773" s="19"/>
      <c r="G773" s="19"/>
    </row>
    <row r="774" spans="1:7" ht="15.75" customHeight="1" x14ac:dyDescent="0.3">
      <c r="A774" s="19"/>
      <c r="B774" s="19"/>
      <c r="C774" s="19"/>
      <c r="D774" s="19"/>
      <c r="E774" s="19"/>
      <c r="F774" s="19"/>
      <c r="G774" s="19"/>
    </row>
    <row r="775" spans="1:7" ht="15.75" customHeight="1" x14ac:dyDescent="0.3">
      <c r="A775" s="19"/>
      <c r="B775" s="19"/>
      <c r="C775" s="19"/>
      <c r="D775" s="19"/>
      <c r="E775" s="19"/>
      <c r="F775" s="19"/>
      <c r="G775" s="19"/>
    </row>
    <row r="776" spans="1:7" ht="15.75" customHeight="1" x14ac:dyDescent="0.3">
      <c r="A776" s="19"/>
      <c r="B776" s="19"/>
      <c r="C776" s="19"/>
      <c r="D776" s="19"/>
      <c r="E776" s="19"/>
      <c r="F776" s="19"/>
      <c r="G776" s="19"/>
    </row>
    <row r="777" spans="1:7" ht="15.75" customHeight="1" x14ac:dyDescent="0.3">
      <c r="A777" s="19"/>
      <c r="B777" s="19"/>
      <c r="C777" s="19"/>
      <c r="D777" s="19"/>
      <c r="E777" s="19"/>
      <c r="F777" s="19"/>
      <c r="G777" s="19"/>
    </row>
    <row r="778" spans="1:7" ht="15.75" customHeight="1" x14ac:dyDescent="0.3">
      <c r="A778" s="19"/>
      <c r="B778" s="19"/>
      <c r="C778" s="19"/>
      <c r="D778" s="19"/>
      <c r="E778" s="19"/>
      <c r="F778" s="19"/>
      <c r="G778" s="19"/>
    </row>
    <row r="779" spans="1:7" ht="15.75" customHeight="1" x14ac:dyDescent="0.3">
      <c r="A779" s="19"/>
      <c r="B779" s="19"/>
      <c r="C779" s="19"/>
      <c r="D779" s="19"/>
      <c r="E779" s="19"/>
      <c r="F779" s="19"/>
      <c r="G779" s="19"/>
    </row>
    <row r="780" spans="1:7" ht="15.75" customHeight="1" x14ac:dyDescent="0.3">
      <c r="A780" s="19"/>
      <c r="B780" s="19"/>
      <c r="C780" s="19"/>
      <c r="D780" s="19"/>
      <c r="E780" s="19"/>
      <c r="F780" s="19"/>
      <c r="G780" s="19"/>
    </row>
    <row r="781" spans="1:7" ht="15.75" customHeight="1" x14ac:dyDescent="0.3">
      <c r="A781" s="19"/>
      <c r="B781" s="19"/>
      <c r="C781" s="19"/>
      <c r="D781" s="19"/>
      <c r="E781" s="19"/>
      <c r="F781" s="19"/>
      <c r="G781" s="19"/>
    </row>
    <row r="782" spans="1:7" ht="15.75" customHeight="1" x14ac:dyDescent="0.3">
      <c r="A782" s="19"/>
      <c r="B782" s="19"/>
      <c r="C782" s="19"/>
      <c r="D782" s="19"/>
      <c r="E782" s="19"/>
      <c r="F782" s="19"/>
      <c r="G782" s="19"/>
    </row>
    <row r="783" spans="1:7" ht="15.75" customHeight="1" x14ac:dyDescent="0.3">
      <c r="A783" s="19"/>
      <c r="B783" s="19"/>
      <c r="C783" s="19"/>
      <c r="D783" s="19"/>
      <c r="E783" s="19"/>
      <c r="F783" s="19"/>
      <c r="G783" s="19"/>
    </row>
    <row r="784" spans="1:7" ht="15.75" customHeight="1" x14ac:dyDescent="0.3">
      <c r="A784" s="19"/>
      <c r="B784" s="19"/>
      <c r="C784" s="19"/>
      <c r="D784" s="19"/>
      <c r="E784" s="19"/>
      <c r="F784" s="19"/>
      <c r="G784" s="19"/>
    </row>
    <row r="785" spans="1:7" ht="15.75" customHeight="1" x14ac:dyDescent="0.3">
      <c r="A785" s="19"/>
      <c r="B785" s="19"/>
      <c r="C785" s="19"/>
      <c r="D785" s="19"/>
      <c r="E785" s="19"/>
      <c r="F785" s="19"/>
      <c r="G785" s="19"/>
    </row>
    <row r="786" spans="1:7" ht="15.75" customHeight="1" x14ac:dyDescent="0.3">
      <c r="A786" s="19"/>
      <c r="B786" s="19"/>
      <c r="C786" s="19"/>
      <c r="D786" s="19"/>
      <c r="E786" s="19"/>
      <c r="F786" s="19"/>
      <c r="G786" s="19"/>
    </row>
    <row r="787" spans="1:7" ht="15.75" customHeight="1" x14ac:dyDescent="0.3">
      <c r="A787" s="19"/>
      <c r="B787" s="19"/>
      <c r="C787" s="19"/>
      <c r="D787" s="19"/>
      <c r="E787" s="19"/>
      <c r="F787" s="19"/>
      <c r="G787" s="19"/>
    </row>
    <row r="788" spans="1:7" ht="15.75" customHeight="1" x14ac:dyDescent="0.3">
      <c r="A788" s="19"/>
      <c r="B788" s="19"/>
      <c r="C788" s="19"/>
      <c r="D788" s="19"/>
      <c r="E788" s="19"/>
      <c r="F788" s="19"/>
      <c r="G788" s="19"/>
    </row>
    <row r="789" spans="1:7" ht="15.75" customHeight="1" x14ac:dyDescent="0.3">
      <c r="A789" s="19"/>
      <c r="B789" s="19"/>
      <c r="C789" s="19"/>
      <c r="D789" s="19"/>
      <c r="E789" s="19"/>
      <c r="F789" s="19"/>
      <c r="G789" s="19"/>
    </row>
    <row r="790" spans="1:7" ht="15.75" customHeight="1" x14ac:dyDescent="0.3">
      <c r="A790" s="19"/>
      <c r="B790" s="19"/>
      <c r="C790" s="19"/>
      <c r="D790" s="19"/>
      <c r="E790" s="19"/>
      <c r="F790" s="19"/>
      <c r="G790" s="19"/>
    </row>
    <row r="791" spans="1:7" ht="15.75" customHeight="1" x14ac:dyDescent="0.3">
      <c r="A791" s="19"/>
      <c r="B791" s="19"/>
      <c r="C791" s="19"/>
      <c r="D791" s="19"/>
      <c r="E791" s="19"/>
      <c r="F791" s="19"/>
      <c r="G791" s="19"/>
    </row>
    <row r="792" spans="1:7" ht="15.75" customHeight="1" x14ac:dyDescent="0.3">
      <c r="A792" s="19"/>
      <c r="B792" s="19"/>
      <c r="C792" s="19"/>
      <c r="D792" s="19"/>
      <c r="E792" s="19"/>
      <c r="F792" s="19"/>
      <c r="G792" s="19"/>
    </row>
    <row r="793" spans="1:7" ht="15.75" customHeight="1" x14ac:dyDescent="0.3">
      <c r="A793" s="19"/>
      <c r="B793" s="19"/>
      <c r="C793" s="19"/>
      <c r="D793" s="19"/>
      <c r="E793" s="19"/>
      <c r="F793" s="19"/>
      <c r="G793" s="19"/>
    </row>
    <row r="794" spans="1:7" ht="15.75" customHeight="1" x14ac:dyDescent="0.3">
      <c r="A794" s="19"/>
      <c r="B794" s="19"/>
      <c r="C794" s="19"/>
      <c r="D794" s="19"/>
      <c r="E794" s="19"/>
      <c r="F794" s="19"/>
      <c r="G794" s="19"/>
    </row>
    <row r="795" spans="1:7" ht="15.75" customHeight="1" x14ac:dyDescent="0.3">
      <c r="A795" s="19"/>
      <c r="B795" s="19"/>
      <c r="C795" s="19"/>
      <c r="D795" s="19"/>
      <c r="E795" s="19"/>
      <c r="F795" s="19"/>
      <c r="G795" s="19"/>
    </row>
    <row r="796" spans="1:7" ht="15.75" customHeight="1" x14ac:dyDescent="0.3">
      <c r="A796" s="19"/>
      <c r="B796" s="19"/>
      <c r="C796" s="19"/>
      <c r="D796" s="19"/>
      <c r="E796" s="19"/>
      <c r="F796" s="19"/>
      <c r="G796" s="19"/>
    </row>
    <row r="797" spans="1:7" ht="15.75" customHeight="1" x14ac:dyDescent="0.3">
      <c r="A797" s="19"/>
      <c r="B797" s="19"/>
      <c r="C797" s="19"/>
      <c r="D797" s="19"/>
      <c r="E797" s="19"/>
      <c r="F797" s="19"/>
      <c r="G797" s="19"/>
    </row>
    <row r="798" spans="1:7" ht="15.75" customHeight="1" x14ac:dyDescent="0.3">
      <c r="A798" s="19"/>
      <c r="B798" s="19"/>
      <c r="C798" s="19"/>
      <c r="D798" s="19"/>
      <c r="E798" s="19"/>
      <c r="F798" s="19"/>
      <c r="G798" s="19"/>
    </row>
    <row r="799" spans="1:7" ht="15.75" customHeight="1" x14ac:dyDescent="0.3">
      <c r="A799" s="19"/>
      <c r="B799" s="19"/>
      <c r="C799" s="19"/>
      <c r="D799" s="19"/>
      <c r="E799" s="19"/>
      <c r="F799" s="19"/>
      <c r="G799" s="19"/>
    </row>
    <row r="800" spans="1:7" ht="15.75" customHeight="1" x14ac:dyDescent="0.3">
      <c r="A800" s="19"/>
      <c r="B800" s="19"/>
      <c r="C800" s="19"/>
      <c r="D800" s="19"/>
      <c r="E800" s="19"/>
      <c r="F800" s="19"/>
      <c r="G800" s="19"/>
    </row>
    <row r="801" spans="1:7" ht="15.75" customHeight="1" x14ac:dyDescent="0.3">
      <c r="A801" s="19"/>
      <c r="B801" s="19"/>
      <c r="C801" s="19"/>
      <c r="D801" s="19"/>
      <c r="E801" s="19"/>
      <c r="F801" s="19"/>
      <c r="G801" s="19"/>
    </row>
    <row r="802" spans="1:7" ht="15.75" customHeight="1" x14ac:dyDescent="0.3">
      <c r="A802" s="19"/>
      <c r="B802" s="19"/>
      <c r="C802" s="19"/>
      <c r="D802" s="19"/>
      <c r="E802" s="19"/>
      <c r="F802" s="19"/>
      <c r="G802" s="19"/>
    </row>
    <row r="803" spans="1:7" ht="15.75" customHeight="1" x14ac:dyDescent="0.3">
      <c r="A803" s="19"/>
      <c r="B803" s="19"/>
      <c r="C803" s="19"/>
      <c r="D803" s="19"/>
      <c r="E803" s="19"/>
      <c r="F803" s="19"/>
      <c r="G803" s="19"/>
    </row>
    <row r="804" spans="1:7" ht="15.75" customHeight="1" x14ac:dyDescent="0.3">
      <c r="A804" s="19"/>
      <c r="B804" s="19"/>
      <c r="C804" s="19"/>
      <c r="D804" s="19"/>
      <c r="E804" s="19"/>
      <c r="F804" s="19"/>
      <c r="G804" s="19"/>
    </row>
    <row r="805" spans="1:7" ht="15.75" customHeight="1" x14ac:dyDescent="0.3">
      <c r="A805" s="19"/>
      <c r="B805" s="19"/>
      <c r="C805" s="19"/>
      <c r="D805" s="19"/>
      <c r="E805" s="19"/>
      <c r="F805" s="19"/>
      <c r="G805" s="19"/>
    </row>
    <row r="806" spans="1:7" ht="15.75" customHeight="1" x14ac:dyDescent="0.3">
      <c r="A806" s="19"/>
      <c r="B806" s="19"/>
      <c r="C806" s="19"/>
      <c r="D806" s="19"/>
      <c r="E806" s="19"/>
      <c r="F806" s="19"/>
      <c r="G806" s="19"/>
    </row>
    <row r="807" spans="1:7" ht="15.75" customHeight="1" x14ac:dyDescent="0.3">
      <c r="A807" s="19"/>
      <c r="B807" s="19"/>
      <c r="C807" s="19"/>
      <c r="D807" s="19"/>
      <c r="E807" s="19"/>
      <c r="F807" s="19"/>
      <c r="G807" s="19"/>
    </row>
    <row r="808" spans="1:7" ht="15.75" customHeight="1" x14ac:dyDescent="0.3">
      <c r="A808" s="19"/>
      <c r="B808" s="19"/>
      <c r="C808" s="19"/>
      <c r="D808" s="19"/>
      <c r="E808" s="19"/>
      <c r="F808" s="19"/>
      <c r="G808" s="19"/>
    </row>
    <row r="809" spans="1:7" ht="15.75" customHeight="1" x14ac:dyDescent="0.3">
      <c r="A809" s="19"/>
      <c r="B809" s="19"/>
      <c r="C809" s="19"/>
      <c r="D809" s="19"/>
      <c r="E809" s="19"/>
      <c r="F809" s="19"/>
      <c r="G809" s="19"/>
    </row>
    <row r="810" spans="1:7" ht="15.75" customHeight="1" x14ac:dyDescent="0.3">
      <c r="A810" s="19"/>
      <c r="B810" s="19"/>
      <c r="C810" s="19"/>
      <c r="D810" s="19"/>
      <c r="E810" s="19"/>
      <c r="F810" s="19"/>
      <c r="G810" s="19"/>
    </row>
    <row r="811" spans="1:7" ht="15.75" customHeight="1" x14ac:dyDescent="0.3">
      <c r="A811" s="19"/>
      <c r="B811" s="19"/>
      <c r="C811" s="19"/>
      <c r="D811" s="19"/>
      <c r="E811" s="19"/>
      <c r="F811" s="19"/>
      <c r="G811" s="19"/>
    </row>
    <row r="812" spans="1:7" ht="15.75" customHeight="1" x14ac:dyDescent="0.3">
      <c r="A812" s="19"/>
      <c r="B812" s="19"/>
      <c r="C812" s="19"/>
      <c r="D812" s="19"/>
      <c r="E812" s="19"/>
      <c r="F812" s="19"/>
      <c r="G812" s="19"/>
    </row>
    <row r="813" spans="1:7" ht="15.75" customHeight="1" x14ac:dyDescent="0.3">
      <c r="A813" s="19"/>
      <c r="B813" s="19"/>
      <c r="C813" s="19"/>
      <c r="D813" s="19"/>
      <c r="E813" s="19"/>
      <c r="F813" s="19"/>
      <c r="G813" s="19"/>
    </row>
    <row r="814" spans="1:7" ht="15.75" customHeight="1" x14ac:dyDescent="0.3">
      <c r="A814" s="19"/>
      <c r="B814" s="19"/>
      <c r="C814" s="19"/>
      <c r="D814" s="19"/>
      <c r="E814" s="19"/>
      <c r="F814" s="19"/>
      <c r="G814" s="19"/>
    </row>
    <row r="815" spans="1:7" ht="15.75" customHeight="1" x14ac:dyDescent="0.3">
      <c r="A815" s="19"/>
      <c r="B815" s="19"/>
      <c r="C815" s="19"/>
      <c r="D815" s="19"/>
      <c r="E815" s="19"/>
      <c r="F815" s="19"/>
      <c r="G815" s="19"/>
    </row>
    <row r="816" spans="1:7" ht="15.75" customHeight="1" x14ac:dyDescent="0.3">
      <c r="A816" s="19"/>
      <c r="B816" s="19"/>
      <c r="C816" s="19"/>
      <c r="D816" s="19"/>
      <c r="E816" s="19"/>
      <c r="F816" s="19"/>
      <c r="G816" s="19"/>
    </row>
    <row r="817" spans="1:7" ht="15.75" customHeight="1" x14ac:dyDescent="0.3">
      <c r="A817" s="19"/>
      <c r="B817" s="19"/>
      <c r="C817" s="19"/>
      <c r="D817" s="19"/>
      <c r="E817" s="19"/>
      <c r="F817" s="19"/>
      <c r="G817" s="19"/>
    </row>
    <row r="818" spans="1:7" ht="15.75" customHeight="1" x14ac:dyDescent="0.3">
      <c r="A818" s="19"/>
      <c r="B818" s="19"/>
      <c r="C818" s="19"/>
      <c r="D818" s="19"/>
      <c r="E818" s="19"/>
      <c r="F818" s="19"/>
      <c r="G818" s="19"/>
    </row>
    <row r="819" spans="1:7" ht="15.75" customHeight="1" x14ac:dyDescent="0.3">
      <c r="A819" s="19"/>
      <c r="B819" s="19"/>
      <c r="C819" s="19"/>
      <c r="D819" s="19"/>
      <c r="E819" s="19"/>
      <c r="F819" s="19"/>
      <c r="G819" s="19"/>
    </row>
    <row r="820" spans="1:7" ht="15.75" customHeight="1" x14ac:dyDescent="0.3">
      <c r="A820" s="19"/>
      <c r="B820" s="19"/>
      <c r="C820" s="19"/>
      <c r="D820" s="19"/>
      <c r="E820" s="19"/>
      <c r="F820" s="19"/>
      <c r="G820" s="19"/>
    </row>
    <row r="821" spans="1:7" ht="15.75" customHeight="1" x14ac:dyDescent="0.3">
      <c r="A821" s="19"/>
      <c r="B821" s="19"/>
      <c r="C821" s="19"/>
      <c r="D821" s="19"/>
      <c r="E821" s="19"/>
      <c r="F821" s="19"/>
      <c r="G821" s="19"/>
    </row>
    <row r="822" spans="1:7" ht="15.75" customHeight="1" x14ac:dyDescent="0.3">
      <c r="A822" s="19"/>
      <c r="B822" s="19"/>
      <c r="C822" s="19"/>
      <c r="D822" s="19"/>
      <c r="E822" s="19"/>
      <c r="F822" s="19"/>
      <c r="G822" s="19"/>
    </row>
    <row r="823" spans="1:7" ht="15.75" customHeight="1" x14ac:dyDescent="0.3">
      <c r="A823" s="19"/>
      <c r="B823" s="19"/>
      <c r="C823" s="19"/>
      <c r="D823" s="19"/>
      <c r="E823" s="19"/>
      <c r="F823" s="19"/>
      <c r="G823" s="19"/>
    </row>
    <row r="824" spans="1:7" ht="15.75" customHeight="1" x14ac:dyDescent="0.3">
      <c r="A824" s="19"/>
      <c r="B824" s="19"/>
      <c r="C824" s="19"/>
      <c r="D824" s="19"/>
      <c r="E824" s="19"/>
      <c r="F824" s="19"/>
      <c r="G824" s="19"/>
    </row>
    <row r="825" spans="1:7" ht="15.75" customHeight="1" x14ac:dyDescent="0.3">
      <c r="A825" s="19"/>
      <c r="B825" s="19"/>
      <c r="C825" s="19"/>
      <c r="D825" s="19"/>
      <c r="E825" s="19"/>
      <c r="F825" s="19"/>
      <c r="G825" s="19"/>
    </row>
    <row r="826" spans="1:7" ht="15.75" customHeight="1" x14ac:dyDescent="0.3">
      <c r="A826" s="19"/>
      <c r="B826" s="19"/>
      <c r="C826" s="19"/>
      <c r="D826" s="19"/>
      <c r="E826" s="19"/>
      <c r="F826" s="19"/>
      <c r="G826" s="19"/>
    </row>
    <row r="827" spans="1:7" ht="15.75" customHeight="1" x14ac:dyDescent="0.3">
      <c r="A827" s="19"/>
      <c r="B827" s="19"/>
      <c r="C827" s="19"/>
      <c r="D827" s="19"/>
      <c r="E827" s="19"/>
      <c r="F827" s="19"/>
      <c r="G827" s="19"/>
    </row>
    <row r="828" spans="1:7" ht="15.75" customHeight="1" x14ac:dyDescent="0.3">
      <c r="A828" s="19"/>
      <c r="B828" s="19"/>
      <c r="C828" s="19"/>
      <c r="D828" s="19"/>
      <c r="E828" s="19"/>
      <c r="F828" s="19"/>
      <c r="G828" s="19"/>
    </row>
    <row r="829" spans="1:7" ht="15.75" customHeight="1" x14ac:dyDescent="0.3">
      <c r="A829" s="19"/>
      <c r="B829" s="19"/>
      <c r="C829" s="19"/>
      <c r="D829" s="19"/>
      <c r="E829" s="19"/>
      <c r="F829" s="19"/>
      <c r="G829" s="19"/>
    </row>
    <row r="830" spans="1:7" ht="15.75" customHeight="1" x14ac:dyDescent="0.3">
      <c r="A830" s="19"/>
      <c r="B830" s="19"/>
      <c r="C830" s="19"/>
      <c r="D830" s="19"/>
      <c r="E830" s="19"/>
      <c r="F830" s="19"/>
      <c r="G830" s="19"/>
    </row>
    <row r="831" spans="1:7" ht="15.75" customHeight="1" x14ac:dyDescent="0.3">
      <c r="A831" s="19"/>
      <c r="B831" s="19"/>
      <c r="C831" s="19"/>
      <c r="D831" s="19"/>
      <c r="E831" s="19"/>
      <c r="F831" s="19"/>
      <c r="G831" s="19"/>
    </row>
    <row r="832" spans="1:7" ht="15.75" customHeight="1" x14ac:dyDescent="0.3">
      <c r="A832" s="19"/>
      <c r="B832" s="19"/>
      <c r="C832" s="19"/>
      <c r="D832" s="19"/>
      <c r="E832" s="19"/>
      <c r="F832" s="19"/>
      <c r="G832" s="19"/>
    </row>
    <row r="833" spans="1:7" ht="15.75" customHeight="1" x14ac:dyDescent="0.3">
      <c r="A833" s="19"/>
      <c r="B833" s="19"/>
      <c r="C833" s="19"/>
      <c r="D833" s="19"/>
      <c r="E833" s="19"/>
      <c r="F833" s="19"/>
      <c r="G833" s="19"/>
    </row>
    <row r="834" spans="1:7" ht="15.75" customHeight="1" x14ac:dyDescent="0.3">
      <c r="A834" s="19"/>
      <c r="B834" s="19"/>
      <c r="C834" s="19"/>
      <c r="D834" s="19"/>
      <c r="E834" s="19"/>
      <c r="F834" s="19"/>
      <c r="G834" s="19"/>
    </row>
    <row r="835" spans="1:7" ht="15.75" customHeight="1" x14ac:dyDescent="0.3">
      <c r="A835" s="19"/>
      <c r="B835" s="19"/>
      <c r="C835" s="19"/>
      <c r="D835" s="19"/>
      <c r="E835" s="19"/>
      <c r="F835" s="19"/>
      <c r="G835" s="19"/>
    </row>
    <row r="836" spans="1:7" ht="15.75" customHeight="1" x14ac:dyDescent="0.3">
      <c r="A836" s="19"/>
      <c r="B836" s="19"/>
      <c r="C836" s="19"/>
      <c r="D836" s="19"/>
      <c r="E836" s="19"/>
      <c r="F836" s="19"/>
      <c r="G836" s="19"/>
    </row>
    <row r="837" spans="1:7" ht="15.75" customHeight="1" x14ac:dyDescent="0.3">
      <c r="A837" s="19"/>
      <c r="B837" s="19"/>
      <c r="C837" s="19"/>
      <c r="D837" s="19"/>
      <c r="E837" s="19"/>
      <c r="F837" s="19"/>
      <c r="G837" s="19"/>
    </row>
    <row r="838" spans="1:7" ht="15.75" customHeight="1" x14ac:dyDescent="0.3">
      <c r="A838" s="19"/>
      <c r="B838" s="19"/>
      <c r="C838" s="19"/>
      <c r="D838" s="19"/>
      <c r="E838" s="19"/>
      <c r="F838" s="19"/>
      <c r="G838" s="19"/>
    </row>
    <row r="839" spans="1:7" ht="15.75" customHeight="1" x14ac:dyDescent="0.3">
      <c r="A839" s="19"/>
      <c r="B839" s="19"/>
      <c r="C839" s="19"/>
      <c r="D839" s="19"/>
      <c r="E839" s="19"/>
      <c r="F839" s="19"/>
      <c r="G839" s="19"/>
    </row>
    <row r="840" spans="1:7" ht="15.75" customHeight="1" x14ac:dyDescent="0.3">
      <c r="A840" s="19"/>
      <c r="B840" s="19"/>
      <c r="C840" s="19"/>
      <c r="D840" s="19"/>
      <c r="E840" s="19"/>
      <c r="F840" s="19"/>
      <c r="G840" s="19"/>
    </row>
    <row r="841" spans="1:7" ht="15.75" customHeight="1" x14ac:dyDescent="0.3">
      <c r="A841" s="19"/>
      <c r="B841" s="19"/>
      <c r="C841" s="19"/>
      <c r="D841" s="19"/>
      <c r="E841" s="19"/>
      <c r="F841" s="19"/>
      <c r="G841" s="19"/>
    </row>
    <row r="842" spans="1:7" ht="15.75" customHeight="1" x14ac:dyDescent="0.3">
      <c r="A842" s="19"/>
      <c r="B842" s="19"/>
      <c r="C842" s="19"/>
      <c r="D842" s="19"/>
      <c r="E842" s="19"/>
      <c r="F842" s="19"/>
      <c r="G842" s="19"/>
    </row>
    <row r="843" spans="1:7" ht="15.75" customHeight="1" x14ac:dyDescent="0.3">
      <c r="A843" s="19"/>
      <c r="B843" s="19"/>
      <c r="C843" s="19"/>
      <c r="D843" s="19"/>
      <c r="E843" s="19"/>
      <c r="F843" s="19"/>
      <c r="G843" s="19"/>
    </row>
    <row r="844" spans="1:7" ht="15.75" customHeight="1" x14ac:dyDescent="0.3">
      <c r="A844" s="19"/>
      <c r="B844" s="19"/>
      <c r="C844" s="19"/>
      <c r="D844" s="19"/>
      <c r="E844" s="19"/>
      <c r="F844" s="19"/>
      <c r="G844" s="19"/>
    </row>
    <row r="845" spans="1:7" ht="15.75" customHeight="1" x14ac:dyDescent="0.3">
      <c r="A845" s="19"/>
      <c r="B845" s="19"/>
      <c r="C845" s="19"/>
      <c r="D845" s="19"/>
      <c r="E845" s="19"/>
      <c r="F845" s="19"/>
      <c r="G845" s="19"/>
    </row>
    <row r="846" spans="1:7" ht="15.75" customHeight="1" x14ac:dyDescent="0.3">
      <c r="A846" s="19"/>
      <c r="B846" s="19"/>
      <c r="C846" s="19"/>
      <c r="D846" s="19"/>
      <c r="E846" s="19"/>
      <c r="F846" s="19"/>
      <c r="G846" s="19"/>
    </row>
    <row r="847" spans="1:7" ht="15.75" customHeight="1" x14ac:dyDescent="0.3">
      <c r="A847" s="19"/>
      <c r="B847" s="19"/>
      <c r="C847" s="19"/>
      <c r="D847" s="19"/>
      <c r="E847" s="19"/>
      <c r="F847" s="19"/>
      <c r="G847" s="19"/>
    </row>
    <row r="848" spans="1:7" ht="15.75" customHeight="1" x14ac:dyDescent="0.3">
      <c r="A848" s="19"/>
      <c r="B848" s="19"/>
      <c r="C848" s="19"/>
      <c r="D848" s="19"/>
      <c r="E848" s="19"/>
      <c r="F848" s="19"/>
      <c r="G848" s="19"/>
    </row>
    <row r="849" spans="1:7" ht="15.75" customHeight="1" x14ac:dyDescent="0.3">
      <c r="A849" s="19"/>
      <c r="B849" s="19"/>
      <c r="C849" s="19"/>
      <c r="D849" s="19"/>
      <c r="E849" s="19"/>
      <c r="F849" s="19"/>
      <c r="G849" s="19"/>
    </row>
    <row r="850" spans="1:7" ht="15.75" customHeight="1" x14ac:dyDescent="0.3">
      <c r="A850" s="19"/>
      <c r="B850" s="19"/>
      <c r="C850" s="19"/>
      <c r="D850" s="19"/>
      <c r="E850" s="19"/>
      <c r="F850" s="19"/>
      <c r="G850" s="19"/>
    </row>
    <row r="851" spans="1:7" ht="15.75" customHeight="1" x14ac:dyDescent="0.3">
      <c r="A851" s="19"/>
      <c r="B851" s="19"/>
      <c r="C851" s="19"/>
      <c r="D851" s="19"/>
      <c r="E851" s="19"/>
      <c r="F851" s="19"/>
      <c r="G851" s="19"/>
    </row>
    <row r="852" spans="1:7" ht="15.75" customHeight="1" x14ac:dyDescent="0.3">
      <c r="A852" s="19"/>
      <c r="B852" s="19"/>
      <c r="C852" s="19"/>
      <c r="D852" s="19"/>
      <c r="E852" s="19"/>
      <c r="F852" s="19"/>
      <c r="G852" s="19"/>
    </row>
    <row r="853" spans="1:7" ht="15.75" customHeight="1" x14ac:dyDescent="0.3">
      <c r="A853" s="19"/>
      <c r="B853" s="19"/>
      <c r="C853" s="19"/>
      <c r="D853" s="19"/>
      <c r="E853" s="19"/>
      <c r="F853" s="19"/>
      <c r="G853" s="19"/>
    </row>
    <row r="854" spans="1:7" ht="15.75" customHeight="1" x14ac:dyDescent="0.3">
      <c r="A854" s="19"/>
      <c r="B854" s="19"/>
      <c r="C854" s="19"/>
      <c r="D854" s="19"/>
      <c r="E854" s="19"/>
      <c r="F854" s="19"/>
      <c r="G854" s="19"/>
    </row>
    <row r="855" spans="1:7" ht="15.75" customHeight="1" x14ac:dyDescent="0.3">
      <c r="A855" s="19"/>
      <c r="B855" s="19"/>
      <c r="C855" s="19"/>
      <c r="D855" s="19"/>
      <c r="E855" s="19"/>
      <c r="F855" s="19"/>
      <c r="G855" s="19"/>
    </row>
    <row r="856" spans="1:7" ht="15.75" customHeight="1" x14ac:dyDescent="0.3">
      <c r="A856" s="19"/>
      <c r="B856" s="19"/>
      <c r="C856" s="19"/>
      <c r="D856" s="19"/>
      <c r="E856" s="19"/>
      <c r="F856" s="19"/>
      <c r="G856" s="19"/>
    </row>
    <row r="857" spans="1:7" ht="15.75" customHeight="1" x14ac:dyDescent="0.3">
      <c r="A857" s="19"/>
      <c r="B857" s="19"/>
      <c r="C857" s="19"/>
      <c r="D857" s="19"/>
      <c r="E857" s="19"/>
      <c r="F857" s="19"/>
      <c r="G857" s="19"/>
    </row>
    <row r="858" spans="1:7" ht="15.75" customHeight="1" x14ac:dyDescent="0.3">
      <c r="A858" s="19"/>
      <c r="B858" s="19"/>
      <c r="C858" s="19"/>
      <c r="D858" s="19"/>
      <c r="E858" s="19"/>
      <c r="F858" s="19"/>
      <c r="G858" s="19"/>
    </row>
    <row r="859" spans="1:7" ht="15.75" customHeight="1" x14ac:dyDescent="0.3">
      <c r="A859" s="19"/>
      <c r="B859" s="19"/>
      <c r="C859" s="19"/>
      <c r="D859" s="19"/>
      <c r="E859" s="19"/>
      <c r="F859" s="19"/>
      <c r="G859" s="19"/>
    </row>
    <row r="860" spans="1:7" ht="15.75" customHeight="1" x14ac:dyDescent="0.3">
      <c r="A860" s="19"/>
      <c r="B860" s="19"/>
      <c r="C860" s="19"/>
      <c r="D860" s="19"/>
      <c r="E860" s="19"/>
      <c r="F860" s="19"/>
      <c r="G860" s="19"/>
    </row>
    <row r="861" spans="1:7" ht="15.75" customHeight="1" x14ac:dyDescent="0.3">
      <c r="A861" s="19"/>
      <c r="B861" s="19"/>
      <c r="C861" s="19"/>
      <c r="D861" s="19"/>
      <c r="E861" s="19"/>
      <c r="F861" s="19"/>
      <c r="G861" s="19"/>
    </row>
    <row r="862" spans="1:7" ht="15.75" customHeight="1" x14ac:dyDescent="0.3">
      <c r="A862" s="19"/>
      <c r="B862" s="19"/>
      <c r="C862" s="19"/>
      <c r="D862" s="19"/>
      <c r="E862" s="19"/>
      <c r="F862" s="19"/>
      <c r="G862" s="19"/>
    </row>
    <row r="863" spans="1:7" ht="15.75" customHeight="1" x14ac:dyDescent="0.3">
      <c r="A863" s="19"/>
      <c r="B863" s="19"/>
      <c r="C863" s="19"/>
      <c r="D863" s="19"/>
      <c r="E863" s="19"/>
      <c r="F863" s="19"/>
      <c r="G863" s="19"/>
    </row>
    <row r="864" spans="1:7" ht="15.75" customHeight="1" x14ac:dyDescent="0.3">
      <c r="A864" s="19"/>
      <c r="B864" s="19"/>
      <c r="C864" s="19"/>
      <c r="D864" s="19"/>
      <c r="E864" s="19"/>
      <c r="F864" s="19"/>
      <c r="G864" s="19"/>
    </row>
    <row r="865" spans="1:7" ht="15.75" customHeight="1" x14ac:dyDescent="0.3">
      <c r="A865" s="19"/>
      <c r="B865" s="19"/>
      <c r="C865" s="19"/>
      <c r="D865" s="19"/>
      <c r="E865" s="19"/>
      <c r="F865" s="19"/>
      <c r="G865" s="19"/>
    </row>
    <row r="866" spans="1:7" ht="15.75" customHeight="1" x14ac:dyDescent="0.3">
      <c r="A866" s="19"/>
      <c r="B866" s="19"/>
      <c r="C866" s="19"/>
      <c r="D866" s="19"/>
      <c r="E866" s="19"/>
      <c r="F866" s="19"/>
      <c r="G866" s="19"/>
    </row>
    <row r="867" spans="1:7" ht="15.75" customHeight="1" x14ac:dyDescent="0.3">
      <c r="A867" s="19"/>
      <c r="B867" s="19"/>
      <c r="C867" s="19"/>
      <c r="D867" s="19"/>
      <c r="E867" s="19"/>
      <c r="F867" s="19"/>
      <c r="G867" s="19"/>
    </row>
    <row r="868" spans="1:7" ht="15.75" customHeight="1" x14ac:dyDescent="0.3">
      <c r="A868" s="19"/>
      <c r="B868" s="19"/>
      <c r="C868" s="19"/>
      <c r="D868" s="19"/>
      <c r="E868" s="19"/>
      <c r="F868" s="19"/>
      <c r="G868" s="19"/>
    </row>
    <row r="869" spans="1:7" ht="15.75" customHeight="1" x14ac:dyDescent="0.3">
      <c r="A869" s="19"/>
      <c r="B869" s="19"/>
      <c r="C869" s="19"/>
      <c r="D869" s="19"/>
      <c r="E869" s="19"/>
      <c r="F869" s="19"/>
      <c r="G869" s="19"/>
    </row>
    <row r="870" spans="1:7" ht="15.75" customHeight="1" x14ac:dyDescent="0.3">
      <c r="A870" s="19"/>
      <c r="B870" s="19"/>
      <c r="C870" s="19"/>
      <c r="D870" s="19"/>
      <c r="E870" s="19"/>
      <c r="F870" s="19"/>
      <c r="G870" s="19"/>
    </row>
    <row r="871" spans="1:7" ht="15.75" customHeight="1" x14ac:dyDescent="0.3">
      <c r="A871" s="19"/>
      <c r="B871" s="19"/>
      <c r="C871" s="19"/>
      <c r="D871" s="19"/>
      <c r="E871" s="19"/>
      <c r="F871" s="19"/>
      <c r="G871" s="19"/>
    </row>
    <row r="872" spans="1:7" ht="15.75" customHeight="1" x14ac:dyDescent="0.3">
      <c r="A872" s="19"/>
      <c r="B872" s="19"/>
      <c r="C872" s="19"/>
      <c r="D872" s="19"/>
      <c r="E872" s="19"/>
      <c r="F872" s="19"/>
      <c r="G872" s="19"/>
    </row>
    <row r="873" spans="1:7" ht="15.75" customHeight="1" x14ac:dyDescent="0.3">
      <c r="A873" s="19"/>
      <c r="B873" s="19"/>
      <c r="C873" s="19"/>
      <c r="D873" s="19"/>
      <c r="E873" s="19"/>
      <c r="F873" s="19"/>
      <c r="G873" s="19"/>
    </row>
    <row r="874" spans="1:7" ht="15.75" customHeight="1" x14ac:dyDescent="0.3">
      <c r="A874" s="19"/>
      <c r="B874" s="19"/>
      <c r="C874" s="19"/>
      <c r="D874" s="19"/>
      <c r="E874" s="19"/>
      <c r="F874" s="19"/>
      <c r="G874" s="19"/>
    </row>
    <row r="875" spans="1:7" ht="15.75" customHeight="1" x14ac:dyDescent="0.3">
      <c r="A875" s="19"/>
      <c r="B875" s="19"/>
      <c r="C875" s="19"/>
      <c r="D875" s="19"/>
      <c r="E875" s="19"/>
      <c r="F875" s="19"/>
      <c r="G875" s="19"/>
    </row>
    <row r="876" spans="1:7" ht="15.75" customHeight="1" x14ac:dyDescent="0.3">
      <c r="A876" s="19"/>
      <c r="B876" s="19"/>
      <c r="C876" s="19"/>
      <c r="D876" s="19"/>
      <c r="E876" s="19"/>
      <c r="F876" s="19"/>
      <c r="G876" s="19"/>
    </row>
    <row r="877" spans="1:7" ht="15.75" customHeight="1" x14ac:dyDescent="0.3">
      <c r="A877" s="19"/>
      <c r="B877" s="19"/>
      <c r="C877" s="19"/>
      <c r="D877" s="19"/>
      <c r="E877" s="19"/>
      <c r="F877" s="19"/>
      <c r="G877" s="19"/>
    </row>
    <row r="878" spans="1:7" ht="15.75" customHeight="1" x14ac:dyDescent="0.3">
      <c r="A878" s="19"/>
      <c r="B878" s="19"/>
      <c r="C878" s="19"/>
      <c r="D878" s="19"/>
      <c r="E878" s="19"/>
      <c r="F878" s="19"/>
      <c r="G878" s="19"/>
    </row>
    <row r="879" spans="1:7" ht="15.75" customHeight="1" x14ac:dyDescent="0.3">
      <c r="A879" s="19"/>
      <c r="B879" s="19"/>
      <c r="C879" s="19"/>
      <c r="D879" s="19"/>
      <c r="E879" s="19"/>
      <c r="F879" s="19"/>
      <c r="G879" s="19"/>
    </row>
    <row r="880" spans="1:7" ht="15.75" customHeight="1" x14ac:dyDescent="0.3">
      <c r="A880" s="19"/>
      <c r="B880" s="19"/>
      <c r="C880" s="19"/>
      <c r="D880" s="19"/>
      <c r="E880" s="19"/>
      <c r="F880" s="19"/>
      <c r="G880" s="19"/>
    </row>
    <row r="881" spans="1:7" ht="15.75" customHeight="1" x14ac:dyDescent="0.3">
      <c r="A881" s="19"/>
      <c r="B881" s="19"/>
      <c r="C881" s="19"/>
      <c r="D881" s="19"/>
      <c r="E881" s="19"/>
      <c r="F881" s="19"/>
      <c r="G881" s="19"/>
    </row>
    <row r="882" spans="1:7" ht="15.75" customHeight="1" x14ac:dyDescent="0.3">
      <c r="A882" s="19"/>
      <c r="B882" s="19"/>
      <c r="C882" s="19"/>
      <c r="D882" s="19"/>
      <c r="E882" s="19"/>
      <c r="F882" s="19"/>
      <c r="G882" s="19"/>
    </row>
    <row r="883" spans="1:7" ht="15.75" customHeight="1" x14ac:dyDescent="0.3">
      <c r="A883" s="19"/>
      <c r="B883" s="19"/>
      <c r="C883" s="19"/>
      <c r="D883" s="19"/>
      <c r="E883" s="19"/>
      <c r="F883" s="19"/>
      <c r="G883" s="19"/>
    </row>
    <row r="884" spans="1:7" ht="15.75" customHeight="1" x14ac:dyDescent="0.3">
      <c r="A884" s="19"/>
      <c r="B884" s="19"/>
      <c r="C884" s="19"/>
      <c r="D884" s="19"/>
      <c r="E884" s="19"/>
      <c r="F884" s="19"/>
      <c r="G884" s="19"/>
    </row>
    <row r="885" spans="1:7" ht="15.75" customHeight="1" x14ac:dyDescent="0.3">
      <c r="A885" s="19"/>
      <c r="B885" s="19"/>
      <c r="C885" s="19"/>
      <c r="D885" s="19"/>
      <c r="E885" s="19"/>
      <c r="F885" s="19"/>
      <c r="G885" s="19"/>
    </row>
    <row r="886" spans="1:7" ht="15.75" customHeight="1" x14ac:dyDescent="0.3">
      <c r="A886" s="19"/>
      <c r="B886" s="19"/>
      <c r="C886" s="19"/>
      <c r="D886" s="19"/>
      <c r="E886" s="19"/>
      <c r="F886" s="19"/>
      <c r="G886" s="19"/>
    </row>
    <row r="887" spans="1:7" ht="15.75" customHeight="1" x14ac:dyDescent="0.3">
      <c r="A887" s="19"/>
      <c r="B887" s="19"/>
      <c r="C887" s="19"/>
      <c r="D887" s="19"/>
      <c r="E887" s="19"/>
      <c r="F887" s="19"/>
      <c r="G887" s="19"/>
    </row>
    <row r="888" spans="1:7" ht="15.75" customHeight="1" x14ac:dyDescent="0.3">
      <c r="A888" s="19"/>
      <c r="B888" s="19"/>
      <c r="C888" s="19"/>
      <c r="D888" s="19"/>
      <c r="E888" s="19"/>
      <c r="F888" s="19"/>
      <c r="G888" s="19"/>
    </row>
    <row r="889" spans="1:7" ht="15.75" customHeight="1" x14ac:dyDescent="0.3">
      <c r="A889" s="19"/>
      <c r="B889" s="19"/>
      <c r="C889" s="19"/>
      <c r="D889" s="19"/>
      <c r="E889" s="19"/>
      <c r="F889" s="19"/>
      <c r="G889" s="19"/>
    </row>
    <row r="890" spans="1:7" ht="15.75" customHeight="1" x14ac:dyDescent="0.3">
      <c r="A890" s="19"/>
      <c r="B890" s="19"/>
      <c r="C890" s="19"/>
      <c r="D890" s="19"/>
      <c r="E890" s="19"/>
      <c r="F890" s="19"/>
      <c r="G890" s="19"/>
    </row>
    <row r="891" spans="1:7" ht="15.75" customHeight="1" x14ac:dyDescent="0.3">
      <c r="A891" s="19"/>
      <c r="B891" s="19"/>
      <c r="C891" s="19"/>
      <c r="D891" s="19"/>
      <c r="E891" s="19"/>
      <c r="F891" s="19"/>
      <c r="G891" s="19"/>
    </row>
    <row r="892" spans="1:7" ht="15.75" customHeight="1" x14ac:dyDescent="0.3">
      <c r="A892" s="19"/>
      <c r="B892" s="19"/>
      <c r="C892" s="19"/>
      <c r="D892" s="19"/>
      <c r="E892" s="19"/>
      <c r="F892" s="19"/>
      <c r="G892" s="19"/>
    </row>
    <row r="893" spans="1:7" ht="15.75" customHeight="1" x14ac:dyDescent="0.3">
      <c r="A893" s="19"/>
      <c r="B893" s="19"/>
      <c r="C893" s="19"/>
      <c r="D893" s="19"/>
      <c r="E893" s="19"/>
      <c r="F893" s="19"/>
      <c r="G893" s="19"/>
    </row>
    <row r="894" spans="1:7" ht="15.75" customHeight="1" x14ac:dyDescent="0.3">
      <c r="A894" s="19"/>
      <c r="B894" s="19"/>
      <c r="C894" s="19"/>
      <c r="D894" s="19"/>
      <c r="E894" s="19"/>
      <c r="F894" s="19"/>
      <c r="G894" s="19"/>
    </row>
    <row r="895" spans="1:7" ht="15.75" customHeight="1" x14ac:dyDescent="0.3">
      <c r="A895" s="19"/>
      <c r="B895" s="19"/>
      <c r="C895" s="19"/>
      <c r="D895" s="19"/>
      <c r="E895" s="19"/>
      <c r="F895" s="19"/>
      <c r="G895" s="19"/>
    </row>
    <row r="896" spans="1:7" ht="15.75" customHeight="1" x14ac:dyDescent="0.3">
      <c r="A896" s="19"/>
      <c r="B896" s="19"/>
      <c r="C896" s="19"/>
      <c r="D896" s="19"/>
      <c r="E896" s="19"/>
      <c r="F896" s="19"/>
      <c r="G896" s="19"/>
    </row>
    <row r="897" spans="1:7" ht="15.75" customHeight="1" x14ac:dyDescent="0.3">
      <c r="A897" s="19"/>
      <c r="B897" s="19"/>
      <c r="C897" s="19"/>
      <c r="D897" s="19"/>
      <c r="E897" s="19"/>
      <c r="F897" s="19"/>
      <c r="G897" s="19"/>
    </row>
    <row r="898" spans="1:7" ht="15.75" customHeight="1" x14ac:dyDescent="0.3">
      <c r="A898" s="19"/>
      <c r="B898" s="19"/>
      <c r="C898" s="19"/>
      <c r="D898" s="19"/>
      <c r="E898" s="19"/>
      <c r="F898" s="19"/>
      <c r="G898" s="19"/>
    </row>
    <row r="899" spans="1:7" ht="15.75" customHeight="1" x14ac:dyDescent="0.3">
      <c r="A899" s="19"/>
      <c r="B899" s="19"/>
      <c r="C899" s="19"/>
      <c r="D899" s="19"/>
      <c r="E899" s="19"/>
      <c r="F899" s="19"/>
      <c r="G899" s="19"/>
    </row>
    <row r="900" spans="1:7" ht="15.75" customHeight="1" x14ac:dyDescent="0.3">
      <c r="A900" s="19"/>
      <c r="B900" s="19"/>
      <c r="C900" s="19"/>
      <c r="D900" s="19"/>
      <c r="E900" s="19"/>
      <c r="F900" s="19"/>
      <c r="G900" s="19"/>
    </row>
    <row r="901" spans="1:7" ht="15.75" customHeight="1" x14ac:dyDescent="0.3">
      <c r="A901" s="19"/>
      <c r="B901" s="19"/>
      <c r="C901" s="19"/>
      <c r="D901" s="19"/>
      <c r="E901" s="19"/>
      <c r="F901" s="19"/>
      <c r="G901" s="19"/>
    </row>
    <row r="902" spans="1:7" ht="15.75" customHeight="1" x14ac:dyDescent="0.3">
      <c r="A902" s="19"/>
      <c r="B902" s="19"/>
      <c r="C902" s="19"/>
      <c r="D902" s="19"/>
      <c r="E902" s="19"/>
      <c r="F902" s="19"/>
      <c r="G902" s="19"/>
    </row>
    <row r="903" spans="1:7" ht="15.75" customHeight="1" x14ac:dyDescent="0.3">
      <c r="A903" s="19"/>
      <c r="B903" s="19"/>
      <c r="C903" s="19"/>
      <c r="D903" s="19"/>
      <c r="E903" s="19"/>
      <c r="F903" s="19"/>
      <c r="G903" s="19"/>
    </row>
    <row r="904" spans="1:7" ht="15.75" customHeight="1" x14ac:dyDescent="0.3">
      <c r="A904" s="19"/>
      <c r="B904" s="19"/>
      <c r="C904" s="19"/>
      <c r="D904" s="19"/>
      <c r="E904" s="19"/>
      <c r="F904" s="19"/>
      <c r="G904" s="19"/>
    </row>
    <row r="905" spans="1:7" ht="15.75" customHeight="1" x14ac:dyDescent="0.3">
      <c r="A905" s="19"/>
      <c r="B905" s="19"/>
      <c r="C905" s="19"/>
      <c r="D905" s="19"/>
      <c r="E905" s="19"/>
      <c r="F905" s="19"/>
      <c r="G905" s="19"/>
    </row>
    <row r="906" spans="1:7" ht="15.75" customHeight="1" x14ac:dyDescent="0.3">
      <c r="A906" s="19"/>
      <c r="B906" s="19"/>
      <c r="C906" s="19"/>
      <c r="D906" s="19"/>
      <c r="E906" s="19"/>
      <c r="F906" s="19"/>
      <c r="G906" s="19"/>
    </row>
    <row r="907" spans="1:7" ht="15.75" customHeight="1" x14ac:dyDescent="0.3">
      <c r="A907" s="19"/>
      <c r="B907" s="19"/>
      <c r="C907" s="19"/>
      <c r="D907" s="19"/>
      <c r="E907" s="19"/>
      <c r="F907" s="19"/>
      <c r="G907" s="19"/>
    </row>
    <row r="908" spans="1:7" ht="15.75" customHeight="1" x14ac:dyDescent="0.3">
      <c r="A908" s="19"/>
      <c r="B908" s="19"/>
      <c r="C908" s="19"/>
      <c r="D908" s="19"/>
      <c r="E908" s="19"/>
      <c r="F908" s="19"/>
      <c r="G908" s="19"/>
    </row>
    <row r="909" spans="1:7" ht="15.75" customHeight="1" x14ac:dyDescent="0.3">
      <c r="A909" s="19"/>
      <c r="B909" s="19"/>
      <c r="C909" s="19"/>
      <c r="D909" s="19"/>
      <c r="E909" s="19"/>
      <c r="F909" s="19"/>
      <c r="G909" s="19"/>
    </row>
    <row r="910" spans="1:7" ht="15.75" customHeight="1" x14ac:dyDescent="0.3">
      <c r="A910" s="19"/>
      <c r="B910" s="19"/>
      <c r="C910" s="19"/>
      <c r="D910" s="19"/>
      <c r="E910" s="19"/>
      <c r="F910" s="19"/>
      <c r="G910" s="19"/>
    </row>
    <row r="911" spans="1:7" ht="15.75" customHeight="1" x14ac:dyDescent="0.3">
      <c r="A911" s="19"/>
      <c r="B911" s="19"/>
      <c r="C911" s="19"/>
      <c r="D911" s="19"/>
      <c r="E911" s="19"/>
      <c r="F911" s="19"/>
      <c r="G911" s="19"/>
    </row>
    <row r="912" spans="1:7" ht="15.75" customHeight="1" x14ac:dyDescent="0.3">
      <c r="A912" s="19"/>
      <c r="B912" s="19"/>
      <c r="C912" s="19"/>
      <c r="D912" s="19"/>
      <c r="E912" s="19"/>
      <c r="F912" s="19"/>
      <c r="G912" s="19"/>
    </row>
    <row r="913" spans="1:7" ht="15.75" customHeight="1" x14ac:dyDescent="0.3">
      <c r="A913" s="19"/>
      <c r="B913" s="19"/>
      <c r="C913" s="19"/>
      <c r="D913" s="19"/>
      <c r="E913" s="19"/>
      <c r="F913" s="19"/>
      <c r="G913" s="19"/>
    </row>
    <row r="914" spans="1:7" ht="15.75" customHeight="1" x14ac:dyDescent="0.3">
      <c r="A914" s="19"/>
      <c r="B914" s="19"/>
      <c r="C914" s="19"/>
      <c r="D914" s="19"/>
      <c r="E914" s="19"/>
      <c r="F914" s="19"/>
      <c r="G914" s="19"/>
    </row>
    <row r="915" spans="1:7" ht="15.75" customHeight="1" x14ac:dyDescent="0.3">
      <c r="A915" s="19"/>
      <c r="B915" s="19"/>
      <c r="C915" s="19"/>
      <c r="D915" s="19"/>
      <c r="E915" s="19"/>
      <c r="F915" s="19"/>
      <c r="G915" s="19"/>
    </row>
    <row r="916" spans="1:7" ht="15.75" customHeight="1" x14ac:dyDescent="0.3">
      <c r="A916" s="19"/>
      <c r="B916" s="19"/>
      <c r="C916" s="19"/>
      <c r="D916" s="19"/>
      <c r="E916" s="19"/>
      <c r="F916" s="19"/>
      <c r="G916" s="19"/>
    </row>
    <row r="917" spans="1:7" ht="15.75" customHeight="1" x14ac:dyDescent="0.3">
      <c r="A917" s="19"/>
      <c r="B917" s="19"/>
      <c r="C917" s="19"/>
      <c r="D917" s="19"/>
      <c r="E917" s="19"/>
      <c r="F917" s="19"/>
      <c r="G917" s="19"/>
    </row>
    <row r="918" spans="1:7" ht="15.75" customHeight="1" x14ac:dyDescent="0.3">
      <c r="A918" s="19"/>
      <c r="B918" s="19"/>
      <c r="C918" s="19"/>
      <c r="D918" s="19"/>
      <c r="E918" s="19"/>
      <c r="F918" s="19"/>
      <c r="G918" s="19"/>
    </row>
    <row r="919" spans="1:7" ht="15.75" customHeight="1" x14ac:dyDescent="0.3">
      <c r="A919" s="19"/>
      <c r="B919" s="19"/>
      <c r="C919" s="19"/>
      <c r="D919" s="19"/>
      <c r="E919" s="19"/>
      <c r="F919" s="19"/>
      <c r="G919" s="19"/>
    </row>
    <row r="920" spans="1:7" ht="15.75" customHeight="1" x14ac:dyDescent="0.3">
      <c r="A920" s="19"/>
      <c r="B920" s="19"/>
      <c r="C920" s="19"/>
      <c r="D920" s="19"/>
      <c r="E920" s="19"/>
      <c r="F920" s="19"/>
      <c r="G920" s="19"/>
    </row>
    <row r="921" spans="1:7" ht="15.75" customHeight="1" x14ac:dyDescent="0.3">
      <c r="A921" s="19"/>
      <c r="B921" s="19"/>
      <c r="C921" s="19"/>
      <c r="D921" s="19"/>
      <c r="E921" s="19"/>
      <c r="F921" s="19"/>
      <c r="G921" s="19"/>
    </row>
    <row r="922" spans="1:7" ht="15.75" customHeight="1" x14ac:dyDescent="0.3">
      <c r="A922" s="19"/>
      <c r="B922" s="19"/>
      <c r="C922" s="19"/>
      <c r="D922" s="19"/>
      <c r="E922" s="19"/>
      <c r="F922" s="19"/>
      <c r="G922" s="19"/>
    </row>
    <row r="923" spans="1:7" ht="15.75" customHeight="1" x14ac:dyDescent="0.3">
      <c r="A923" s="19"/>
      <c r="B923" s="19"/>
      <c r="C923" s="19"/>
      <c r="D923" s="19"/>
      <c r="E923" s="19"/>
      <c r="F923" s="19"/>
      <c r="G923" s="19"/>
    </row>
    <row r="924" spans="1:7" ht="15.75" customHeight="1" x14ac:dyDescent="0.3">
      <c r="A924" s="19"/>
      <c r="B924" s="19"/>
      <c r="C924" s="19"/>
      <c r="D924" s="19"/>
      <c r="E924" s="19"/>
      <c r="F924" s="19"/>
      <c r="G924" s="19"/>
    </row>
    <row r="925" spans="1:7" ht="15.75" customHeight="1" x14ac:dyDescent="0.3">
      <c r="A925" s="19"/>
      <c r="B925" s="19"/>
      <c r="C925" s="19"/>
      <c r="D925" s="19"/>
      <c r="E925" s="19"/>
      <c r="F925" s="19"/>
      <c r="G925" s="19"/>
    </row>
    <row r="926" spans="1:7" ht="15.75" customHeight="1" x14ac:dyDescent="0.3">
      <c r="A926" s="19"/>
      <c r="B926" s="19"/>
      <c r="C926" s="19"/>
      <c r="D926" s="19"/>
      <c r="E926" s="19"/>
      <c r="F926" s="19"/>
      <c r="G926" s="19"/>
    </row>
    <row r="927" spans="1:7" ht="15.75" customHeight="1" x14ac:dyDescent="0.3">
      <c r="A927" s="19"/>
      <c r="B927" s="19"/>
      <c r="C927" s="19"/>
      <c r="D927" s="19"/>
      <c r="E927" s="19"/>
      <c r="F927" s="19"/>
      <c r="G927" s="19"/>
    </row>
    <row r="928" spans="1:7" ht="15.75" customHeight="1" x14ac:dyDescent="0.3">
      <c r="A928" s="19"/>
      <c r="B928" s="19"/>
      <c r="C928" s="19"/>
      <c r="D928" s="19"/>
      <c r="E928" s="19"/>
      <c r="F928" s="19"/>
      <c r="G928" s="19"/>
    </row>
    <row r="929" spans="1:7" ht="15.75" customHeight="1" x14ac:dyDescent="0.3">
      <c r="A929" s="19"/>
      <c r="B929" s="19"/>
      <c r="C929" s="19"/>
      <c r="D929" s="19"/>
      <c r="E929" s="19"/>
      <c r="F929" s="19"/>
      <c r="G929" s="19"/>
    </row>
    <row r="930" spans="1:7" ht="15.75" customHeight="1" x14ac:dyDescent="0.3">
      <c r="A930" s="19"/>
      <c r="B930" s="19"/>
      <c r="C930" s="19"/>
      <c r="D930" s="19"/>
      <c r="E930" s="19"/>
      <c r="F930" s="19"/>
      <c r="G930" s="19"/>
    </row>
    <row r="931" spans="1:7" ht="15.75" customHeight="1" x14ac:dyDescent="0.3">
      <c r="A931" s="19"/>
      <c r="B931" s="19"/>
      <c r="C931" s="19"/>
      <c r="D931" s="19"/>
      <c r="E931" s="19"/>
      <c r="F931" s="19"/>
      <c r="G931" s="19"/>
    </row>
    <row r="932" spans="1:7" ht="15.75" customHeight="1" x14ac:dyDescent="0.3">
      <c r="A932" s="19"/>
      <c r="B932" s="19"/>
      <c r="C932" s="19"/>
      <c r="D932" s="19"/>
      <c r="E932" s="19"/>
      <c r="F932" s="19"/>
      <c r="G932" s="19"/>
    </row>
    <row r="933" spans="1:7" ht="15.75" customHeight="1" x14ac:dyDescent="0.3">
      <c r="A933" s="19"/>
      <c r="B933" s="19"/>
      <c r="C933" s="19"/>
      <c r="D933" s="19"/>
      <c r="E933" s="19"/>
      <c r="F933" s="19"/>
      <c r="G933" s="19"/>
    </row>
    <row r="934" spans="1:7" ht="15.75" customHeight="1" x14ac:dyDescent="0.3">
      <c r="A934" s="19"/>
      <c r="B934" s="19"/>
      <c r="C934" s="19"/>
      <c r="D934" s="19"/>
      <c r="E934" s="19"/>
      <c r="F934" s="19"/>
      <c r="G934" s="19"/>
    </row>
    <row r="935" spans="1:7" ht="15.75" customHeight="1" x14ac:dyDescent="0.3">
      <c r="A935" s="19"/>
      <c r="B935" s="19"/>
      <c r="C935" s="19"/>
      <c r="D935" s="19"/>
      <c r="E935" s="19"/>
      <c r="F935" s="19"/>
      <c r="G935" s="19"/>
    </row>
    <row r="936" spans="1:7" ht="15.75" customHeight="1" x14ac:dyDescent="0.3">
      <c r="A936" s="19"/>
      <c r="B936" s="19"/>
      <c r="C936" s="19"/>
      <c r="D936" s="19"/>
      <c r="E936" s="19"/>
      <c r="F936" s="19"/>
      <c r="G936" s="19"/>
    </row>
    <row r="937" spans="1:7" ht="15.75" customHeight="1" x14ac:dyDescent="0.3">
      <c r="A937" s="19"/>
      <c r="B937" s="19"/>
      <c r="C937" s="19"/>
      <c r="D937" s="19"/>
      <c r="E937" s="19"/>
      <c r="F937" s="19"/>
      <c r="G937" s="19"/>
    </row>
    <row r="938" spans="1:7" ht="15.75" customHeight="1" x14ac:dyDescent="0.3">
      <c r="A938" s="19"/>
      <c r="B938" s="19"/>
      <c r="C938" s="19"/>
      <c r="D938" s="19"/>
      <c r="E938" s="19"/>
      <c r="F938" s="19"/>
      <c r="G938" s="19"/>
    </row>
    <row r="939" spans="1:7" ht="15.75" customHeight="1" x14ac:dyDescent="0.3">
      <c r="A939" s="19"/>
      <c r="B939" s="19"/>
      <c r="C939" s="19"/>
      <c r="D939" s="19"/>
      <c r="E939" s="19"/>
      <c r="F939" s="19"/>
      <c r="G939" s="19"/>
    </row>
    <row r="940" spans="1:7" ht="15.75" customHeight="1" x14ac:dyDescent="0.3">
      <c r="A940" s="19"/>
      <c r="B940" s="19"/>
      <c r="C940" s="19"/>
      <c r="D940" s="19"/>
      <c r="E940" s="19"/>
      <c r="F940" s="19"/>
      <c r="G940" s="19"/>
    </row>
    <row r="941" spans="1:7" ht="15.75" customHeight="1" x14ac:dyDescent="0.3">
      <c r="A941" s="19"/>
      <c r="B941" s="19"/>
      <c r="C941" s="19"/>
      <c r="D941" s="19"/>
      <c r="E941" s="19"/>
      <c r="F941" s="19"/>
      <c r="G941" s="19"/>
    </row>
    <row r="942" spans="1:7" ht="15.75" customHeight="1" x14ac:dyDescent="0.3">
      <c r="A942" s="19"/>
      <c r="B942" s="19"/>
      <c r="C942" s="19"/>
      <c r="D942" s="19"/>
      <c r="E942" s="19"/>
      <c r="F942" s="19"/>
      <c r="G942" s="19"/>
    </row>
    <row r="943" spans="1:7" ht="15.75" customHeight="1" x14ac:dyDescent="0.3">
      <c r="A943" s="19"/>
      <c r="B943" s="19"/>
      <c r="C943" s="19"/>
      <c r="D943" s="19"/>
      <c r="E943" s="19"/>
      <c r="F943" s="19"/>
      <c r="G943" s="19"/>
    </row>
    <row r="944" spans="1:7" ht="15.75" customHeight="1" x14ac:dyDescent="0.3">
      <c r="A944" s="19"/>
      <c r="B944" s="19"/>
      <c r="C944" s="19"/>
      <c r="D944" s="19"/>
      <c r="E944" s="19"/>
      <c r="F944" s="19"/>
      <c r="G944" s="19"/>
    </row>
    <row r="945" spans="1:7" ht="15.75" customHeight="1" x14ac:dyDescent="0.3">
      <c r="A945" s="19"/>
      <c r="B945" s="19"/>
      <c r="C945" s="19"/>
      <c r="D945" s="19"/>
      <c r="E945" s="19"/>
      <c r="F945" s="19"/>
      <c r="G945" s="19"/>
    </row>
    <row r="946" spans="1:7" ht="15.75" customHeight="1" x14ac:dyDescent="0.3">
      <c r="A946" s="19"/>
      <c r="B946" s="19"/>
      <c r="C946" s="19"/>
      <c r="D946" s="19"/>
      <c r="E946" s="19"/>
      <c r="F946" s="19"/>
      <c r="G946" s="19"/>
    </row>
    <row r="947" spans="1:7" ht="15.75" customHeight="1" x14ac:dyDescent="0.3">
      <c r="A947" s="19"/>
      <c r="B947" s="19"/>
      <c r="C947" s="19"/>
      <c r="D947" s="19"/>
      <c r="E947" s="19"/>
      <c r="F947" s="19"/>
      <c r="G947" s="19"/>
    </row>
    <row r="948" spans="1:7" ht="15.75" customHeight="1" x14ac:dyDescent="0.3">
      <c r="A948" s="19"/>
      <c r="B948" s="19"/>
      <c r="C948" s="19"/>
      <c r="D948" s="19"/>
      <c r="E948" s="19"/>
      <c r="F948" s="19"/>
      <c r="G948" s="19"/>
    </row>
    <row r="949" spans="1:7" ht="15.75" customHeight="1" x14ac:dyDescent="0.3">
      <c r="A949" s="19"/>
      <c r="B949" s="19"/>
      <c r="C949" s="19"/>
      <c r="D949" s="19"/>
      <c r="E949" s="19"/>
      <c r="F949" s="19"/>
      <c r="G949" s="19"/>
    </row>
    <row r="950" spans="1:7" ht="15.75" customHeight="1" x14ac:dyDescent="0.3">
      <c r="A950" s="19"/>
      <c r="B950" s="19"/>
      <c r="C950" s="19"/>
      <c r="D950" s="19"/>
      <c r="E950" s="19"/>
      <c r="F950" s="19"/>
      <c r="G950" s="19"/>
    </row>
    <row r="951" spans="1:7" ht="15.75" customHeight="1" x14ac:dyDescent="0.3">
      <c r="A951" s="19"/>
      <c r="B951" s="19"/>
      <c r="C951" s="19"/>
      <c r="D951" s="19"/>
      <c r="E951" s="19"/>
      <c r="F951" s="19"/>
      <c r="G951" s="19"/>
    </row>
    <row r="952" spans="1:7" ht="15.75" customHeight="1" x14ac:dyDescent="0.3">
      <c r="A952" s="19"/>
      <c r="B952" s="19"/>
      <c r="C952" s="19"/>
      <c r="D952" s="19"/>
      <c r="E952" s="19"/>
      <c r="F952" s="19"/>
      <c r="G952" s="19"/>
    </row>
    <row r="953" spans="1:7" ht="15.75" customHeight="1" x14ac:dyDescent="0.3">
      <c r="A953" s="19"/>
      <c r="B953" s="19"/>
      <c r="C953" s="19"/>
      <c r="D953" s="19"/>
      <c r="E953" s="19"/>
      <c r="F953" s="19"/>
      <c r="G953" s="19"/>
    </row>
    <row r="954" spans="1:7" ht="15.75" customHeight="1" x14ac:dyDescent="0.3">
      <c r="A954" s="19"/>
      <c r="B954" s="19"/>
      <c r="C954" s="19"/>
      <c r="D954" s="19"/>
      <c r="E954" s="19"/>
      <c r="F954" s="19"/>
      <c r="G954" s="19"/>
    </row>
    <row r="955" spans="1:7" ht="15.75" customHeight="1" x14ac:dyDescent="0.3">
      <c r="A955" s="19"/>
      <c r="B955" s="19"/>
      <c r="C955" s="19"/>
      <c r="D955" s="19"/>
      <c r="E955" s="19"/>
      <c r="F955" s="19"/>
      <c r="G955" s="19"/>
    </row>
    <row r="956" spans="1:7" ht="15.75" customHeight="1" x14ac:dyDescent="0.3">
      <c r="A956" s="19"/>
      <c r="B956" s="19"/>
      <c r="C956" s="19"/>
      <c r="D956" s="19"/>
      <c r="E956" s="19"/>
      <c r="F956" s="19"/>
      <c r="G956" s="19"/>
    </row>
    <row r="957" spans="1:7" ht="15.75" customHeight="1" x14ac:dyDescent="0.3">
      <c r="A957" s="19"/>
      <c r="B957" s="19"/>
      <c r="C957" s="19"/>
      <c r="D957" s="19"/>
      <c r="E957" s="19"/>
      <c r="F957" s="19"/>
      <c r="G957" s="19"/>
    </row>
    <row r="958" spans="1:7" ht="15.75" customHeight="1" x14ac:dyDescent="0.3">
      <c r="A958" s="19"/>
      <c r="B958" s="19"/>
      <c r="C958" s="19"/>
      <c r="D958" s="19"/>
      <c r="E958" s="19"/>
      <c r="F958" s="19"/>
      <c r="G958" s="19"/>
    </row>
    <row r="959" spans="1:7" ht="15.75" customHeight="1" x14ac:dyDescent="0.3">
      <c r="A959" s="19"/>
      <c r="B959" s="19"/>
      <c r="C959" s="19"/>
      <c r="D959" s="19"/>
      <c r="E959" s="19"/>
      <c r="F959" s="19"/>
      <c r="G959" s="19"/>
    </row>
    <row r="960" spans="1:7" ht="15.75" customHeight="1" x14ac:dyDescent="0.3">
      <c r="A960" s="19"/>
      <c r="B960" s="19"/>
      <c r="C960" s="19"/>
      <c r="D960" s="19"/>
      <c r="E960" s="19"/>
      <c r="F960" s="19"/>
      <c r="G960" s="19"/>
    </row>
    <row r="961" spans="1:7" ht="15.75" customHeight="1" x14ac:dyDescent="0.3">
      <c r="A961" s="19"/>
      <c r="B961" s="19"/>
      <c r="C961" s="19"/>
      <c r="D961" s="19"/>
      <c r="E961" s="19"/>
      <c r="F961" s="19"/>
      <c r="G961" s="19"/>
    </row>
    <row r="962" spans="1:7" ht="15.75" customHeight="1" x14ac:dyDescent="0.3">
      <c r="A962" s="19"/>
      <c r="B962" s="19"/>
      <c r="C962" s="19"/>
      <c r="D962" s="19"/>
      <c r="E962" s="19"/>
      <c r="F962" s="19"/>
      <c r="G962" s="19"/>
    </row>
    <row r="963" spans="1:7" ht="15.75" customHeight="1" x14ac:dyDescent="0.3">
      <c r="A963" s="19"/>
      <c r="B963" s="19"/>
      <c r="C963" s="19"/>
      <c r="D963" s="19"/>
      <c r="E963" s="19"/>
      <c r="F963" s="19"/>
      <c r="G963" s="19"/>
    </row>
    <row r="964" spans="1:7" ht="15.75" customHeight="1" x14ac:dyDescent="0.3">
      <c r="A964" s="19"/>
      <c r="B964" s="19"/>
      <c r="C964" s="19"/>
      <c r="D964" s="19"/>
      <c r="E964" s="19"/>
      <c r="F964" s="19"/>
      <c r="G964" s="19"/>
    </row>
    <row r="965" spans="1:7" ht="15.75" customHeight="1" x14ac:dyDescent="0.3">
      <c r="A965" s="19"/>
      <c r="B965" s="19"/>
      <c r="C965" s="19"/>
      <c r="D965" s="19"/>
      <c r="E965" s="19"/>
      <c r="F965" s="19"/>
      <c r="G965" s="19"/>
    </row>
    <row r="966" spans="1:7" ht="15.75" customHeight="1" x14ac:dyDescent="0.3">
      <c r="A966" s="19"/>
      <c r="B966" s="19"/>
      <c r="C966" s="19"/>
      <c r="D966" s="19"/>
      <c r="E966" s="19"/>
      <c r="F966" s="19"/>
      <c r="G966" s="19"/>
    </row>
    <row r="967" spans="1:7" ht="15.75" customHeight="1" x14ac:dyDescent="0.3">
      <c r="A967" s="19"/>
      <c r="B967" s="19"/>
      <c r="C967" s="19"/>
      <c r="D967" s="19"/>
      <c r="E967" s="19"/>
      <c r="F967" s="19"/>
      <c r="G967" s="19"/>
    </row>
    <row r="968" spans="1:7" ht="15.75" customHeight="1" x14ac:dyDescent="0.3">
      <c r="A968" s="19"/>
      <c r="B968" s="19"/>
      <c r="C968" s="19"/>
      <c r="D968" s="19"/>
      <c r="E968" s="19"/>
      <c r="F968" s="19"/>
      <c r="G968" s="19"/>
    </row>
    <row r="969" spans="1:7" ht="15.75" customHeight="1" x14ac:dyDescent="0.3">
      <c r="A969" s="19"/>
      <c r="B969" s="19"/>
      <c r="C969" s="19"/>
      <c r="D969" s="19"/>
      <c r="E969" s="19"/>
      <c r="F969" s="19"/>
      <c r="G969" s="19"/>
    </row>
    <row r="970" spans="1:7" ht="15.75" customHeight="1" x14ac:dyDescent="0.3">
      <c r="A970" s="19"/>
      <c r="B970" s="19"/>
      <c r="C970" s="19"/>
      <c r="D970" s="19"/>
      <c r="E970" s="19"/>
      <c r="F970" s="19"/>
      <c r="G970" s="19"/>
    </row>
    <row r="971" spans="1:7" ht="15.75" customHeight="1" x14ac:dyDescent="0.3">
      <c r="A971" s="19"/>
      <c r="B971" s="19"/>
      <c r="C971" s="19"/>
      <c r="D971" s="19"/>
      <c r="E971" s="19"/>
      <c r="F971" s="19"/>
      <c r="G971" s="19"/>
    </row>
    <row r="972" spans="1:7" ht="15.75" customHeight="1" x14ac:dyDescent="0.3">
      <c r="A972" s="19"/>
      <c r="B972" s="19"/>
      <c r="C972" s="19"/>
      <c r="D972" s="19"/>
      <c r="E972" s="19"/>
      <c r="F972" s="19"/>
      <c r="G972" s="19"/>
    </row>
    <row r="973" spans="1:7" ht="15.75" customHeight="1" x14ac:dyDescent="0.3">
      <c r="A973" s="19"/>
      <c r="B973" s="19"/>
      <c r="C973" s="19"/>
      <c r="D973" s="19"/>
      <c r="E973" s="19"/>
      <c r="F973" s="19"/>
      <c r="G973" s="19"/>
    </row>
    <row r="974" spans="1:7" ht="15.75" customHeight="1" x14ac:dyDescent="0.3">
      <c r="A974" s="19"/>
      <c r="B974" s="19"/>
      <c r="C974" s="19"/>
      <c r="D974" s="19"/>
      <c r="E974" s="19"/>
      <c r="F974" s="19"/>
      <c r="G974" s="19"/>
    </row>
    <row r="975" spans="1:7" ht="15.75" customHeight="1" x14ac:dyDescent="0.3">
      <c r="A975" s="19"/>
      <c r="B975" s="19"/>
      <c r="C975" s="19"/>
      <c r="D975" s="19"/>
      <c r="E975" s="19"/>
      <c r="F975" s="19"/>
      <c r="G975" s="19"/>
    </row>
    <row r="976" spans="1:7" ht="15.75" customHeight="1" x14ac:dyDescent="0.3">
      <c r="A976" s="19"/>
      <c r="B976" s="19"/>
      <c r="C976" s="19"/>
      <c r="D976" s="19"/>
      <c r="E976" s="19"/>
      <c r="F976" s="19"/>
      <c r="G976" s="19"/>
    </row>
    <row r="977" spans="1:7" ht="15.75" customHeight="1" x14ac:dyDescent="0.3">
      <c r="A977" s="19"/>
      <c r="B977" s="19"/>
      <c r="C977" s="19"/>
      <c r="D977" s="19"/>
      <c r="E977" s="19"/>
      <c r="F977" s="19"/>
      <c r="G977" s="19"/>
    </row>
    <row r="978" spans="1:7" ht="15.75" customHeight="1" x14ac:dyDescent="0.3">
      <c r="A978" s="19"/>
      <c r="B978" s="19"/>
      <c r="C978" s="19"/>
      <c r="D978" s="19"/>
      <c r="E978" s="19"/>
      <c r="F978" s="19"/>
      <c r="G978" s="19"/>
    </row>
    <row r="979" spans="1:7" ht="15.75" customHeight="1" x14ac:dyDescent="0.3">
      <c r="A979" s="19"/>
      <c r="B979" s="19"/>
      <c r="C979" s="19"/>
      <c r="D979" s="19"/>
      <c r="E979" s="19"/>
      <c r="F979" s="19"/>
      <c r="G979" s="19"/>
    </row>
    <row r="980" spans="1:7" ht="15.75" customHeight="1" x14ac:dyDescent="0.3">
      <c r="A980" s="19"/>
      <c r="B980" s="19"/>
      <c r="C980" s="19"/>
      <c r="D980" s="19"/>
      <c r="E980" s="19"/>
      <c r="F980" s="19"/>
      <c r="G980" s="19"/>
    </row>
    <row r="981" spans="1:7" ht="15.75" customHeight="1" x14ac:dyDescent="0.3">
      <c r="A981" s="19"/>
      <c r="B981" s="19"/>
      <c r="C981" s="19"/>
      <c r="D981" s="19"/>
      <c r="E981" s="19"/>
      <c r="F981" s="19"/>
      <c r="G981" s="19"/>
    </row>
    <row r="982" spans="1:7" ht="15.75" customHeight="1" x14ac:dyDescent="0.3">
      <c r="A982" s="19"/>
      <c r="B982" s="19"/>
      <c r="C982" s="19"/>
      <c r="D982" s="19"/>
      <c r="E982" s="19"/>
      <c r="F982" s="19"/>
      <c r="G982" s="19"/>
    </row>
    <row r="983" spans="1:7" ht="15.75" customHeight="1" x14ac:dyDescent="0.3">
      <c r="A983" s="19"/>
      <c r="B983" s="19"/>
      <c r="C983" s="19"/>
      <c r="D983" s="19"/>
      <c r="E983" s="19"/>
      <c r="F983" s="19"/>
      <c r="G983" s="19"/>
    </row>
    <row r="984" spans="1:7" ht="15.75" customHeight="1" x14ac:dyDescent="0.3">
      <c r="A984" s="19"/>
      <c r="B984" s="19"/>
      <c r="C984" s="19"/>
      <c r="D984" s="19"/>
      <c r="E984" s="19"/>
      <c r="F984" s="19"/>
      <c r="G984" s="19"/>
    </row>
    <row r="985" spans="1:7" ht="15.75" customHeight="1" x14ac:dyDescent="0.3">
      <c r="A985" s="19"/>
      <c r="B985" s="19"/>
      <c r="C985" s="19"/>
      <c r="D985" s="19"/>
      <c r="E985" s="19"/>
      <c r="F985" s="19"/>
      <c r="G985" s="19"/>
    </row>
    <row r="986" spans="1:7" ht="15.75" customHeight="1" x14ac:dyDescent="0.3">
      <c r="A986" s="19"/>
      <c r="B986" s="19"/>
      <c r="C986" s="19"/>
      <c r="D986" s="19"/>
      <c r="E986" s="19"/>
      <c r="F986" s="19"/>
      <c r="G986" s="19"/>
    </row>
    <row r="987" spans="1:7" ht="15.75" customHeight="1" x14ac:dyDescent="0.3">
      <c r="A987" s="19"/>
      <c r="B987" s="19"/>
      <c r="C987" s="19"/>
      <c r="D987" s="19"/>
      <c r="E987" s="19"/>
      <c r="F987" s="19"/>
      <c r="G987" s="19"/>
    </row>
    <row r="988" spans="1:7" ht="15.75" customHeight="1" x14ac:dyDescent="0.3">
      <c r="A988" s="19"/>
      <c r="B988" s="19"/>
      <c r="C988" s="19"/>
      <c r="D988" s="19"/>
      <c r="E988" s="19"/>
      <c r="F988" s="19"/>
      <c r="G988" s="19"/>
    </row>
    <row r="989" spans="1:7" ht="15.75" customHeight="1" x14ac:dyDescent="0.3">
      <c r="A989" s="19"/>
      <c r="B989" s="19"/>
      <c r="C989" s="19"/>
      <c r="D989" s="19"/>
      <c r="E989" s="19"/>
      <c r="F989" s="19"/>
      <c r="G989" s="19"/>
    </row>
    <row r="990" spans="1:7" ht="15.75" customHeight="1" x14ac:dyDescent="0.3">
      <c r="A990" s="19"/>
      <c r="B990" s="19"/>
      <c r="C990" s="19"/>
      <c r="D990" s="19"/>
      <c r="E990" s="19"/>
      <c r="F990" s="19"/>
      <c r="G990" s="19"/>
    </row>
    <row r="991" spans="1:7" ht="15.75" customHeight="1" x14ac:dyDescent="0.3">
      <c r="A991" s="19"/>
      <c r="B991" s="19"/>
      <c r="C991" s="19"/>
      <c r="D991" s="19"/>
      <c r="E991" s="19"/>
      <c r="F991" s="19"/>
      <c r="G991" s="19"/>
    </row>
    <row r="992" spans="1:7" ht="15.75" customHeight="1" x14ac:dyDescent="0.3">
      <c r="A992" s="19"/>
      <c r="B992" s="19"/>
      <c r="C992" s="19"/>
      <c r="D992" s="19"/>
      <c r="E992" s="19"/>
      <c r="F992" s="19"/>
      <c r="G992" s="19"/>
    </row>
    <row r="993" spans="1:7" ht="15.75" customHeight="1" x14ac:dyDescent="0.3">
      <c r="A993" s="19"/>
      <c r="B993" s="19"/>
      <c r="C993" s="19"/>
      <c r="D993" s="19"/>
      <c r="E993" s="19"/>
      <c r="F993" s="19"/>
      <c r="G993" s="19"/>
    </row>
    <row r="994" spans="1:7" ht="15.75" customHeight="1" x14ac:dyDescent="0.3">
      <c r="A994" s="19"/>
      <c r="B994" s="19"/>
      <c r="C994" s="19"/>
      <c r="D994" s="19"/>
      <c r="E994" s="19"/>
      <c r="F994" s="19"/>
      <c r="G994" s="19"/>
    </row>
    <row r="995" spans="1:7" ht="15.75" customHeight="1" x14ac:dyDescent="0.3">
      <c r="A995" s="19"/>
      <c r="B995" s="19"/>
      <c r="C995" s="19"/>
      <c r="D995" s="19"/>
      <c r="E995" s="19"/>
      <c r="F995" s="19"/>
      <c r="G995" s="19"/>
    </row>
    <row r="996" spans="1:7" ht="15.75" customHeight="1" x14ac:dyDescent="0.3">
      <c r="A996" s="19"/>
      <c r="B996" s="19"/>
      <c r="C996" s="19"/>
      <c r="D996" s="19"/>
      <c r="E996" s="19"/>
      <c r="F996" s="19"/>
      <c r="G996" s="19"/>
    </row>
    <row r="997" spans="1:7" ht="15.75" customHeight="1" x14ac:dyDescent="0.3">
      <c r="A997" s="19"/>
      <c r="B997" s="19"/>
      <c r="C997" s="19"/>
      <c r="D997" s="19"/>
      <c r="E997" s="19"/>
      <c r="F997" s="19"/>
      <c r="G997" s="19"/>
    </row>
    <row r="998" spans="1:7" ht="15.75" customHeight="1" x14ac:dyDescent="0.3">
      <c r="A998" s="19"/>
      <c r="B998" s="19"/>
      <c r="C998" s="19"/>
      <c r="D998" s="19"/>
      <c r="E998" s="19"/>
      <c r="F998" s="19"/>
      <c r="G998" s="19"/>
    </row>
    <row r="999" spans="1:7" ht="15.75" customHeight="1" x14ac:dyDescent="0.3">
      <c r="A999" s="19"/>
      <c r="B999" s="19"/>
      <c r="C999" s="19"/>
      <c r="D999" s="19"/>
      <c r="E999" s="19"/>
      <c r="F999" s="19"/>
      <c r="G999" s="19"/>
    </row>
    <row r="1000" spans="1:7" ht="15.75" customHeight="1" x14ac:dyDescent="0.3">
      <c r="A1000" s="19"/>
      <c r="B1000" s="19"/>
      <c r="C1000" s="19"/>
      <c r="D1000" s="19"/>
      <c r="E1000" s="19"/>
      <c r="F1000" s="19"/>
      <c r="G1000" s="19"/>
    </row>
  </sheetData>
  <mergeCells count="13">
    <mergeCell ref="B13:C13"/>
    <mergeCell ref="B14:C14"/>
    <mergeCell ref="B15:C15"/>
    <mergeCell ref="B8:C8"/>
    <mergeCell ref="B9:C9"/>
    <mergeCell ref="B10:C10"/>
    <mergeCell ref="B11:C11"/>
    <mergeCell ref="B12:C12"/>
    <mergeCell ref="A1:F1"/>
    <mergeCell ref="A2:F2"/>
    <mergeCell ref="A3:F3"/>
    <mergeCell ref="B6:C6"/>
    <mergeCell ref="B7:C7"/>
  </mergeCells>
  <pageMargins left="0.75" right="0.75" top="1" bottom="1" header="0.511811023622047" footer="0.511811023622047"/>
  <pageSetup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7"/>
  <sheetViews>
    <sheetView zoomScaleNormal="100" workbookViewId="0">
      <pane ySplit="3" topLeftCell="A46" activePane="bottomLeft" state="frozen"/>
      <selection pane="bottomLeft" sqref="A1:G1"/>
    </sheetView>
  </sheetViews>
  <sheetFormatPr defaultColWidth="8.6640625" defaultRowHeight="14.4" x14ac:dyDescent="0.3"/>
  <cols>
    <col min="1" max="1" width="14" customWidth="1"/>
    <col min="2" max="2" width="40" customWidth="1"/>
    <col min="3" max="3" width="26" customWidth="1"/>
    <col min="4" max="4" width="10" customWidth="1"/>
    <col min="5" max="5" width="22" customWidth="1"/>
    <col min="6" max="6" width="14" customWidth="1"/>
    <col min="7" max="7" width="56" customWidth="1"/>
  </cols>
  <sheetData>
    <row r="1" spans="1:7" ht="17.399999999999999" x14ac:dyDescent="0.3">
      <c r="A1" s="6" t="s">
        <v>724</v>
      </c>
      <c r="B1" s="6"/>
      <c r="C1" s="6"/>
      <c r="D1" s="6"/>
      <c r="E1" s="6"/>
      <c r="F1" s="6"/>
      <c r="G1" s="6"/>
    </row>
    <row r="2" spans="1:7" x14ac:dyDescent="0.3">
      <c r="A2" s="5" t="s">
        <v>725</v>
      </c>
      <c r="B2" s="5"/>
      <c r="C2" s="5"/>
      <c r="D2" s="5"/>
      <c r="E2" s="5"/>
      <c r="F2" s="5"/>
      <c r="G2" s="5"/>
    </row>
    <row r="4" spans="1:7" x14ac:dyDescent="0.3">
      <c r="A4" s="56" t="s">
        <v>726</v>
      </c>
    </row>
    <row r="5" spans="1:7" ht="44.25" customHeight="1" x14ac:dyDescent="0.3">
      <c r="A5" s="2" t="s">
        <v>727</v>
      </c>
      <c r="B5" s="2"/>
      <c r="C5" s="1" t="s">
        <v>728</v>
      </c>
      <c r="D5" s="1"/>
      <c r="E5" s="1"/>
      <c r="F5" s="1"/>
      <c r="G5" s="1"/>
    </row>
    <row r="6" spans="1:7" ht="95.25" customHeight="1" x14ac:dyDescent="0.3">
      <c r="A6" s="2" t="s">
        <v>729</v>
      </c>
      <c r="B6" s="2"/>
      <c r="C6" s="1" t="s">
        <v>730</v>
      </c>
      <c r="D6" s="1"/>
      <c r="E6" s="1"/>
      <c r="F6" s="1"/>
      <c r="G6" s="1"/>
    </row>
    <row r="7" spans="1:7" ht="57" customHeight="1" x14ac:dyDescent="0.3">
      <c r="A7" s="2" t="s">
        <v>731</v>
      </c>
      <c r="B7" s="2"/>
      <c r="C7" s="1" t="s">
        <v>732</v>
      </c>
      <c r="D7" s="1"/>
      <c r="E7" s="1"/>
      <c r="F7" s="1"/>
      <c r="G7" s="1"/>
    </row>
    <row r="8" spans="1:7" ht="44.25" customHeight="1" x14ac:dyDescent="0.3">
      <c r="A8" s="2" t="s">
        <v>733</v>
      </c>
      <c r="B8" s="2"/>
      <c r="C8" s="1" t="s">
        <v>734</v>
      </c>
      <c r="D8" s="1"/>
      <c r="E8" s="1"/>
      <c r="F8" s="1"/>
      <c r="G8" s="1"/>
    </row>
    <row r="9" spans="1:7" ht="44.25" customHeight="1" x14ac:dyDescent="0.3">
      <c r="A9" s="2" t="s">
        <v>735</v>
      </c>
      <c r="B9" s="2"/>
      <c r="C9" s="1" t="s">
        <v>736</v>
      </c>
      <c r="D9" s="1"/>
      <c r="E9" s="1"/>
      <c r="F9" s="1"/>
      <c r="G9" s="1"/>
    </row>
    <row r="11" spans="1:7" x14ac:dyDescent="0.3">
      <c r="A11" s="56" t="s">
        <v>737</v>
      </c>
    </row>
    <row r="12" spans="1:7" ht="44.25" customHeight="1" x14ac:dyDescent="0.3">
      <c r="A12" s="2" t="s">
        <v>738</v>
      </c>
      <c r="B12" s="2"/>
      <c r="C12" s="1" t="s">
        <v>739</v>
      </c>
      <c r="D12" s="1"/>
      <c r="E12" s="1"/>
      <c r="F12" s="1"/>
      <c r="G12" s="1"/>
    </row>
    <row r="13" spans="1:7" ht="57" customHeight="1" x14ac:dyDescent="0.3">
      <c r="A13" s="2" t="s">
        <v>740</v>
      </c>
      <c r="B13" s="2"/>
      <c r="C13" s="1" t="s">
        <v>741</v>
      </c>
      <c r="D13" s="1"/>
      <c r="E13" s="1"/>
      <c r="F13" s="1"/>
      <c r="G13" s="1"/>
    </row>
    <row r="14" spans="1:7" ht="82.5" customHeight="1" x14ac:dyDescent="0.3">
      <c r="A14" s="2" t="s">
        <v>742</v>
      </c>
      <c r="B14" s="2"/>
      <c r="C14" s="1" t="s">
        <v>743</v>
      </c>
      <c r="D14" s="1"/>
      <c r="E14" s="1"/>
      <c r="F14" s="1"/>
      <c r="G14" s="1"/>
    </row>
    <row r="16" spans="1:7" x14ac:dyDescent="0.3">
      <c r="A16" s="56" t="s">
        <v>744</v>
      </c>
    </row>
    <row r="17" spans="1:7" x14ac:dyDescent="0.3">
      <c r="A17" s="44" t="s">
        <v>738</v>
      </c>
      <c r="B17" s="44" t="s">
        <v>387</v>
      </c>
      <c r="C17" s="44" t="s">
        <v>29</v>
      </c>
      <c r="D17" s="44" t="s">
        <v>745</v>
      </c>
      <c r="E17" s="44" t="s">
        <v>746</v>
      </c>
      <c r="F17" s="44" t="s">
        <v>747</v>
      </c>
      <c r="G17" s="44" t="s">
        <v>748</v>
      </c>
    </row>
    <row r="18" spans="1:7" ht="31.5" customHeight="1" x14ac:dyDescent="0.3">
      <c r="A18" s="57">
        <v>1</v>
      </c>
      <c r="B18" s="57" t="s">
        <v>749</v>
      </c>
      <c r="C18" s="57" t="s">
        <v>6</v>
      </c>
      <c r="D18" s="57" t="s">
        <v>750</v>
      </c>
      <c r="E18" s="57" t="s">
        <v>629</v>
      </c>
      <c r="F18" s="57" t="s">
        <v>751</v>
      </c>
      <c r="G18" s="57" t="s">
        <v>752</v>
      </c>
    </row>
    <row r="19" spans="1:7" ht="31.5" customHeight="1" x14ac:dyDescent="0.3">
      <c r="A19" s="57">
        <v>2</v>
      </c>
      <c r="B19" s="57" t="s">
        <v>753</v>
      </c>
      <c r="C19" s="57" t="s">
        <v>6</v>
      </c>
      <c r="D19" s="57" t="s">
        <v>750</v>
      </c>
      <c r="E19" s="57" t="s">
        <v>754</v>
      </c>
      <c r="F19" s="57" t="s">
        <v>755</v>
      </c>
      <c r="G19" s="57" t="s">
        <v>756</v>
      </c>
    </row>
    <row r="20" spans="1:7" ht="31.5" customHeight="1" x14ac:dyDescent="0.3">
      <c r="A20" s="57">
        <v>3</v>
      </c>
      <c r="B20" s="57" t="s">
        <v>757</v>
      </c>
      <c r="C20" s="57" t="s">
        <v>6</v>
      </c>
      <c r="D20" s="57" t="s">
        <v>750</v>
      </c>
      <c r="E20" s="57" t="s">
        <v>629</v>
      </c>
      <c r="F20" s="57" t="s">
        <v>758</v>
      </c>
      <c r="G20" s="57" t="s">
        <v>759</v>
      </c>
    </row>
    <row r="21" spans="1:7" ht="18.75" customHeight="1" x14ac:dyDescent="0.3">
      <c r="A21" s="57">
        <v>4</v>
      </c>
      <c r="B21" s="57" t="s">
        <v>760</v>
      </c>
      <c r="C21" s="57" t="s">
        <v>6</v>
      </c>
      <c r="D21" s="57" t="s">
        <v>750</v>
      </c>
      <c r="E21" s="57" t="s">
        <v>761</v>
      </c>
      <c r="F21" s="57" t="s">
        <v>758</v>
      </c>
      <c r="G21" s="57" t="s">
        <v>762</v>
      </c>
    </row>
    <row r="22" spans="1:7" ht="31.5" customHeight="1" x14ac:dyDescent="0.3">
      <c r="A22" s="57">
        <v>5</v>
      </c>
      <c r="B22" s="57" t="s">
        <v>763</v>
      </c>
      <c r="C22" s="57" t="s">
        <v>6</v>
      </c>
      <c r="D22" s="57" t="s">
        <v>750</v>
      </c>
      <c r="E22" s="57" t="s">
        <v>764</v>
      </c>
      <c r="F22" s="57" t="s">
        <v>765</v>
      </c>
      <c r="G22" s="57" t="s">
        <v>766</v>
      </c>
    </row>
    <row r="23" spans="1:7" ht="31.5" customHeight="1" x14ac:dyDescent="0.3">
      <c r="A23" s="57">
        <v>6</v>
      </c>
      <c r="B23" s="57" t="s">
        <v>767</v>
      </c>
      <c r="C23" s="57" t="s">
        <v>6</v>
      </c>
      <c r="D23" s="57" t="s">
        <v>750</v>
      </c>
      <c r="E23" s="57" t="s">
        <v>768</v>
      </c>
      <c r="F23" s="57" t="s">
        <v>769</v>
      </c>
      <c r="G23" s="57" t="s">
        <v>770</v>
      </c>
    </row>
    <row r="24" spans="1:7" ht="31.5" customHeight="1" x14ac:dyDescent="0.3">
      <c r="A24" s="57">
        <v>7</v>
      </c>
      <c r="B24" s="57" t="s">
        <v>771</v>
      </c>
      <c r="C24" s="57" t="s">
        <v>6</v>
      </c>
      <c r="D24" s="57" t="s">
        <v>750</v>
      </c>
      <c r="E24" s="57" t="s">
        <v>768</v>
      </c>
      <c r="F24" s="57" t="s">
        <v>772</v>
      </c>
      <c r="G24" s="57" t="s">
        <v>773</v>
      </c>
    </row>
    <row r="25" spans="1:7" ht="31.5" customHeight="1" x14ac:dyDescent="0.3">
      <c r="A25" s="57">
        <v>8</v>
      </c>
      <c r="B25" s="57" t="s">
        <v>774</v>
      </c>
      <c r="C25" s="57" t="s">
        <v>6</v>
      </c>
      <c r="D25" s="57" t="s">
        <v>750</v>
      </c>
      <c r="E25" s="57" t="s">
        <v>629</v>
      </c>
      <c r="F25" s="57" t="s">
        <v>775</v>
      </c>
      <c r="G25" s="57" t="s">
        <v>776</v>
      </c>
    </row>
    <row r="26" spans="1:7" ht="31.5" customHeight="1" x14ac:dyDescent="0.3">
      <c r="A26" s="57">
        <v>9</v>
      </c>
      <c r="B26" s="57" t="s">
        <v>777</v>
      </c>
      <c r="C26" s="57" t="s">
        <v>6</v>
      </c>
      <c r="D26" s="57" t="s">
        <v>750</v>
      </c>
      <c r="E26" s="57" t="s">
        <v>778</v>
      </c>
      <c r="F26" s="57" t="s">
        <v>779</v>
      </c>
      <c r="G26" s="57" t="s">
        <v>780</v>
      </c>
    </row>
    <row r="27" spans="1:7" ht="31.5" customHeight="1" x14ac:dyDescent="0.3">
      <c r="A27" s="57">
        <v>10</v>
      </c>
      <c r="B27" s="57" t="s">
        <v>781</v>
      </c>
      <c r="C27" s="57" t="s">
        <v>6</v>
      </c>
      <c r="D27" s="57" t="s">
        <v>750</v>
      </c>
      <c r="E27" s="57" t="s">
        <v>782</v>
      </c>
      <c r="F27" s="57" t="s">
        <v>783</v>
      </c>
      <c r="G27" s="57" t="s">
        <v>784</v>
      </c>
    </row>
    <row r="28" spans="1:7" ht="31.5" customHeight="1" x14ac:dyDescent="0.3">
      <c r="A28" s="57">
        <v>11</v>
      </c>
      <c r="B28" s="57" t="s">
        <v>785</v>
      </c>
      <c r="C28" s="57" t="s">
        <v>12</v>
      </c>
      <c r="D28" s="57" t="s">
        <v>750</v>
      </c>
      <c r="E28" s="57" t="s">
        <v>786</v>
      </c>
      <c r="F28" s="57" t="s">
        <v>783</v>
      </c>
      <c r="G28" s="57" t="s">
        <v>787</v>
      </c>
    </row>
    <row r="29" spans="1:7" ht="31.5" customHeight="1" x14ac:dyDescent="0.3">
      <c r="A29" s="57">
        <v>12</v>
      </c>
      <c r="B29" s="57" t="s">
        <v>788</v>
      </c>
      <c r="C29" s="57" t="s">
        <v>12</v>
      </c>
      <c r="D29" s="57" t="s">
        <v>750</v>
      </c>
      <c r="E29" s="57" t="s">
        <v>782</v>
      </c>
      <c r="F29" s="57" t="s">
        <v>789</v>
      </c>
      <c r="G29" s="57" t="s">
        <v>790</v>
      </c>
    </row>
    <row r="30" spans="1:7" ht="31.5" customHeight="1" x14ac:dyDescent="0.3">
      <c r="A30" s="57">
        <v>13</v>
      </c>
      <c r="B30" s="57" t="s">
        <v>791</v>
      </c>
      <c r="C30" s="57" t="s">
        <v>18</v>
      </c>
      <c r="D30" s="57" t="s">
        <v>750</v>
      </c>
      <c r="E30" s="57" t="s">
        <v>761</v>
      </c>
      <c r="F30" s="57" t="s">
        <v>792</v>
      </c>
      <c r="G30" s="57" t="s">
        <v>793</v>
      </c>
    </row>
    <row r="31" spans="1:7" ht="31.5" customHeight="1" x14ac:dyDescent="0.3">
      <c r="A31" s="57">
        <v>14</v>
      </c>
      <c r="B31" s="57" t="s">
        <v>794</v>
      </c>
      <c r="C31" s="57" t="s">
        <v>18</v>
      </c>
      <c r="D31" s="57" t="s">
        <v>795</v>
      </c>
      <c r="E31" s="57" t="s">
        <v>786</v>
      </c>
      <c r="F31" s="57" t="s">
        <v>796</v>
      </c>
      <c r="G31" s="57" t="s">
        <v>797</v>
      </c>
    </row>
    <row r="32" spans="1:7" ht="31.5" customHeight="1" x14ac:dyDescent="0.3">
      <c r="A32" s="57">
        <v>15</v>
      </c>
      <c r="B32" s="57" t="s">
        <v>798</v>
      </c>
      <c r="C32" s="57" t="s">
        <v>15</v>
      </c>
      <c r="D32" s="57" t="s">
        <v>795</v>
      </c>
      <c r="E32" s="57" t="s">
        <v>782</v>
      </c>
      <c r="F32" s="57" t="s">
        <v>796</v>
      </c>
      <c r="G32" s="57" t="s">
        <v>799</v>
      </c>
    </row>
    <row r="33" spans="1:7" ht="31.5" customHeight="1" x14ac:dyDescent="0.3">
      <c r="A33" s="57">
        <v>16</v>
      </c>
      <c r="B33" s="57" t="s">
        <v>800</v>
      </c>
      <c r="C33" s="57" t="s">
        <v>15</v>
      </c>
      <c r="D33" s="57" t="s">
        <v>795</v>
      </c>
      <c r="E33" s="57" t="s">
        <v>801</v>
      </c>
      <c r="F33" s="57" t="s">
        <v>802</v>
      </c>
      <c r="G33" s="57" t="s">
        <v>803</v>
      </c>
    </row>
    <row r="34" spans="1:7" ht="44.25" customHeight="1" x14ac:dyDescent="0.3">
      <c r="A34" s="57">
        <v>17</v>
      </c>
      <c r="B34" s="57" t="s">
        <v>804</v>
      </c>
      <c r="C34" s="57" t="s">
        <v>9</v>
      </c>
      <c r="D34" s="57" t="s">
        <v>750</v>
      </c>
      <c r="E34" s="57" t="s">
        <v>629</v>
      </c>
      <c r="F34" s="57" t="s">
        <v>805</v>
      </c>
      <c r="G34" s="57" t="s">
        <v>806</v>
      </c>
    </row>
    <row r="35" spans="1:7" ht="31.5" customHeight="1" x14ac:dyDescent="0.3">
      <c r="A35" s="57">
        <v>18</v>
      </c>
      <c r="B35" s="57" t="s">
        <v>807</v>
      </c>
      <c r="C35" s="57" t="s">
        <v>9</v>
      </c>
      <c r="D35" s="57" t="s">
        <v>750</v>
      </c>
      <c r="E35" s="57" t="s">
        <v>808</v>
      </c>
      <c r="F35" s="57" t="s">
        <v>805</v>
      </c>
      <c r="G35" s="57" t="s">
        <v>809</v>
      </c>
    </row>
    <row r="36" spans="1:7" ht="31.5" customHeight="1" x14ac:dyDescent="0.3">
      <c r="A36" s="2" t="s">
        <v>747</v>
      </c>
      <c r="B36" s="2"/>
      <c r="C36" s="1" t="s">
        <v>810</v>
      </c>
      <c r="D36" s="1"/>
      <c r="E36" s="1"/>
      <c r="F36" s="1"/>
      <c r="G36" s="1"/>
    </row>
    <row r="38" spans="1:7" x14ac:dyDescent="0.3">
      <c r="A38" s="56" t="s">
        <v>811</v>
      </c>
    </row>
    <row r="39" spans="1:7" ht="44.25" customHeight="1" x14ac:dyDescent="0.3">
      <c r="A39" s="2" t="s">
        <v>812</v>
      </c>
      <c r="B39" s="2"/>
      <c r="C39" s="1" t="s">
        <v>813</v>
      </c>
      <c r="D39" s="1"/>
      <c r="E39" s="1"/>
      <c r="F39" s="1"/>
      <c r="G39" s="1"/>
    </row>
    <row r="40" spans="1:7" ht="31.5" customHeight="1" x14ac:dyDescent="0.3">
      <c r="A40" s="2" t="s">
        <v>814</v>
      </c>
      <c r="B40" s="2"/>
      <c r="C40" s="1" t="s">
        <v>815</v>
      </c>
      <c r="D40" s="1"/>
      <c r="E40" s="1"/>
      <c r="F40" s="1"/>
      <c r="G40" s="1"/>
    </row>
    <row r="41" spans="1:7" ht="44.25" customHeight="1" x14ac:dyDescent="0.3">
      <c r="A41" s="2" t="s">
        <v>816</v>
      </c>
      <c r="B41" s="2"/>
      <c r="C41" s="1" t="s">
        <v>817</v>
      </c>
      <c r="D41" s="1"/>
      <c r="E41" s="1"/>
      <c r="F41" s="1"/>
      <c r="G41" s="1"/>
    </row>
    <row r="42" spans="1:7" ht="31.5" customHeight="1" x14ac:dyDescent="0.3">
      <c r="A42" s="2" t="s">
        <v>818</v>
      </c>
      <c r="B42" s="2"/>
      <c r="C42" s="1" t="s">
        <v>819</v>
      </c>
      <c r="D42" s="1"/>
      <c r="E42" s="1"/>
      <c r="F42" s="1"/>
      <c r="G42" s="1"/>
    </row>
    <row r="43" spans="1:7" ht="44.25" customHeight="1" x14ac:dyDescent="0.3">
      <c r="A43" s="2" t="s">
        <v>820</v>
      </c>
      <c r="B43" s="2"/>
      <c r="C43" s="1" t="s">
        <v>821</v>
      </c>
      <c r="D43" s="1"/>
      <c r="E43" s="1"/>
      <c r="F43" s="1"/>
      <c r="G43" s="1"/>
    </row>
    <row r="44" spans="1:7" ht="44.25" customHeight="1" x14ac:dyDescent="0.3">
      <c r="A44" s="2" t="s">
        <v>822</v>
      </c>
      <c r="B44" s="2"/>
      <c r="C44" s="1" t="s">
        <v>823</v>
      </c>
      <c r="D44" s="1"/>
      <c r="E44" s="1"/>
      <c r="F44" s="1"/>
      <c r="G44" s="1"/>
    </row>
    <row r="45" spans="1:7" ht="44.25" customHeight="1" x14ac:dyDescent="0.3">
      <c r="A45" s="2" t="s">
        <v>824</v>
      </c>
      <c r="B45" s="2"/>
      <c r="C45" s="1" t="s">
        <v>825</v>
      </c>
      <c r="D45" s="1"/>
      <c r="E45" s="1"/>
      <c r="F45" s="1"/>
      <c r="G45" s="1"/>
    </row>
    <row r="46" spans="1:7" ht="31.5" customHeight="1" x14ac:dyDescent="0.3">
      <c r="A46" s="2" t="s">
        <v>826</v>
      </c>
      <c r="B46" s="2"/>
      <c r="C46" s="1" t="s">
        <v>827</v>
      </c>
      <c r="D46" s="1"/>
      <c r="E46" s="1"/>
      <c r="F46" s="1"/>
      <c r="G46" s="1"/>
    </row>
    <row r="47" spans="1:7" ht="31.5" customHeight="1" x14ac:dyDescent="0.3">
      <c r="A47" s="2" t="s">
        <v>828</v>
      </c>
      <c r="B47" s="2"/>
      <c r="C47" s="1" t="s">
        <v>829</v>
      </c>
      <c r="D47" s="1"/>
      <c r="E47" s="1"/>
      <c r="F47" s="1"/>
      <c r="G47" s="1"/>
    </row>
    <row r="48" spans="1:7" ht="31.5" customHeight="1" x14ac:dyDescent="0.3">
      <c r="A48" s="2" t="s">
        <v>830</v>
      </c>
      <c r="B48" s="2"/>
      <c r="C48" s="1" t="s">
        <v>831</v>
      </c>
      <c r="D48" s="1"/>
      <c r="E48" s="1"/>
      <c r="F48" s="1"/>
      <c r="G48" s="1"/>
    </row>
    <row r="49" spans="1:7" ht="31.5" customHeight="1" x14ac:dyDescent="0.3">
      <c r="A49" s="2" t="s">
        <v>832</v>
      </c>
      <c r="B49" s="2"/>
      <c r="C49" s="1" t="s">
        <v>833</v>
      </c>
      <c r="D49" s="1"/>
      <c r="E49" s="1"/>
      <c r="F49" s="1"/>
      <c r="G49" s="1"/>
    </row>
    <row r="50" spans="1:7" ht="18.75" customHeight="1" x14ac:dyDescent="0.3">
      <c r="A50" s="2" t="s">
        <v>834</v>
      </c>
      <c r="B50" s="2"/>
      <c r="C50" s="1" t="s">
        <v>835</v>
      </c>
      <c r="D50" s="1"/>
      <c r="E50" s="1"/>
      <c r="F50" s="1"/>
      <c r="G50" s="1"/>
    </row>
    <row r="52" spans="1:7" x14ac:dyDescent="0.3">
      <c r="A52" s="56" t="s">
        <v>836</v>
      </c>
    </row>
    <row r="53" spans="1:7" ht="44.25" customHeight="1" x14ac:dyDescent="0.3">
      <c r="A53" s="2" t="s">
        <v>837</v>
      </c>
      <c r="B53" s="2"/>
      <c r="C53" s="1" t="s">
        <v>838</v>
      </c>
      <c r="D53" s="1"/>
      <c r="E53" s="1"/>
      <c r="F53" s="1"/>
      <c r="G53" s="1"/>
    </row>
    <row r="54" spans="1:7" ht="44.25" customHeight="1" x14ac:dyDescent="0.3">
      <c r="A54" s="2" t="s">
        <v>839</v>
      </c>
      <c r="B54" s="2"/>
      <c r="C54" s="1" t="s">
        <v>840</v>
      </c>
      <c r="D54" s="1"/>
      <c r="E54" s="1"/>
      <c r="F54" s="1"/>
      <c r="G54" s="1"/>
    </row>
    <row r="55" spans="1:7" ht="69.75" customHeight="1" x14ac:dyDescent="0.3">
      <c r="A55" s="2" t="s">
        <v>841</v>
      </c>
      <c r="B55" s="2"/>
      <c r="C55" s="1" t="s">
        <v>842</v>
      </c>
      <c r="D55" s="1"/>
      <c r="E55" s="1"/>
      <c r="F55" s="1"/>
      <c r="G55" s="1"/>
    </row>
    <row r="56" spans="1:7" ht="44.25" customHeight="1" x14ac:dyDescent="0.3">
      <c r="A56" s="2" t="s">
        <v>843</v>
      </c>
      <c r="B56" s="2"/>
      <c r="C56" s="1" t="s">
        <v>844</v>
      </c>
      <c r="D56" s="1"/>
      <c r="E56" s="1"/>
      <c r="F56" s="1"/>
      <c r="G56" s="1"/>
    </row>
    <row r="57" spans="1:7" ht="31.5" customHeight="1" x14ac:dyDescent="0.3">
      <c r="A57" s="2" t="s">
        <v>845</v>
      </c>
      <c r="B57" s="2"/>
      <c r="C57" s="1" t="s">
        <v>846</v>
      </c>
      <c r="D57" s="1"/>
      <c r="E57" s="1"/>
      <c r="F57" s="1"/>
      <c r="G57" s="1"/>
    </row>
    <row r="58" spans="1:7" ht="44.25" customHeight="1" x14ac:dyDescent="0.3">
      <c r="A58" s="2" t="s">
        <v>847</v>
      </c>
      <c r="B58" s="2"/>
      <c r="C58" s="1" t="s">
        <v>848</v>
      </c>
      <c r="D58" s="1"/>
      <c r="E58" s="1"/>
      <c r="F58" s="1"/>
      <c r="G58" s="1"/>
    </row>
    <row r="60" spans="1:7" x14ac:dyDescent="0.3">
      <c r="A60" s="56" t="s">
        <v>849</v>
      </c>
    </row>
    <row r="61" spans="1:7" ht="15" customHeight="1" x14ac:dyDescent="0.3">
      <c r="A61" s="4" t="s">
        <v>29</v>
      </c>
      <c r="B61" s="4"/>
      <c r="C61" s="44" t="s">
        <v>850</v>
      </c>
      <c r="D61" s="44" t="s">
        <v>851</v>
      </c>
      <c r="E61" s="44" t="s">
        <v>852</v>
      </c>
      <c r="F61" s="44" t="s">
        <v>853</v>
      </c>
      <c r="G61" s="44" t="s">
        <v>854</v>
      </c>
    </row>
    <row r="62" spans="1:7" ht="30" customHeight="1" x14ac:dyDescent="0.3">
      <c r="A62" s="1" t="s">
        <v>6</v>
      </c>
      <c r="B62" s="1"/>
      <c r="C62" s="57">
        <f>COUNTIF('Sprint 6'!$D$7:$D$24,A62)</f>
        <v>10</v>
      </c>
      <c r="D62" s="57">
        <f>SUMIF('Sprint 6'!$D$7:$D$24,A62,'Sprint 6'!$E$7:$E$24)</f>
        <v>56</v>
      </c>
      <c r="E62" s="57">
        <f>SUMIF('Sprint 6'!$D$32:$D$114,A62,'Sprint 6'!$E$32:$E$114)</f>
        <v>130</v>
      </c>
      <c r="F62" s="57">
        <f>SUMIF('Sprint 6'!$D$139:$D$181,A62,'Sprint 6'!$E$139:$E$181)</f>
        <v>9</v>
      </c>
      <c r="G62" s="57" t="s">
        <v>855</v>
      </c>
    </row>
    <row r="63" spans="1:7" ht="30" customHeight="1" x14ac:dyDescent="0.3">
      <c r="A63" s="1" t="s">
        <v>12</v>
      </c>
      <c r="B63" s="1"/>
      <c r="C63" s="57">
        <f>COUNTIF('Sprint 6'!$D$7:$D$24,A63)</f>
        <v>2</v>
      </c>
      <c r="D63" s="57">
        <f>SUMIF('Sprint 6'!$D$7:$D$24,A63,'Sprint 6'!$E$7:$E$24)</f>
        <v>13</v>
      </c>
      <c r="E63" s="57">
        <f>SUMIF('Sprint 6'!$D$32:$D$114,A63,'Sprint 6'!$E$32:$E$114)</f>
        <v>25</v>
      </c>
      <c r="F63" s="57">
        <f>SUMIF('Sprint 6'!$D$139:$D$181,A63,'Sprint 6'!$E$139:$E$181)</f>
        <v>7.5</v>
      </c>
      <c r="G63" s="57" t="s">
        <v>856</v>
      </c>
    </row>
    <row r="64" spans="1:7" ht="30" customHeight="1" x14ac:dyDescent="0.3">
      <c r="A64" s="1" t="s">
        <v>18</v>
      </c>
      <c r="B64" s="1"/>
      <c r="C64" s="57">
        <f>COUNTIF('Sprint 6'!$D$7:$D$24,A64)</f>
        <v>2</v>
      </c>
      <c r="D64" s="57">
        <f>SUMIF('Sprint 6'!$D$7:$D$24,A64,'Sprint 6'!$E$7:$E$24)</f>
        <v>13</v>
      </c>
      <c r="E64" s="57">
        <f>SUMIF('Sprint 6'!$D$32:$D$114,A64,'Sprint 6'!$E$32:$E$114)</f>
        <v>27</v>
      </c>
      <c r="F64" s="57">
        <f>SUMIF('Sprint 6'!$D$139:$D$181,A64,'Sprint 6'!$E$139:$E$181)</f>
        <v>33</v>
      </c>
      <c r="G64" s="57" t="s">
        <v>857</v>
      </c>
    </row>
    <row r="65" spans="1:7" ht="30" customHeight="1" x14ac:dyDescent="0.3">
      <c r="A65" s="1" t="s">
        <v>15</v>
      </c>
      <c r="B65" s="1"/>
      <c r="C65" s="57">
        <f>COUNTIF('Sprint 6'!$D$7:$D$24,A65)</f>
        <v>2</v>
      </c>
      <c r="D65" s="57">
        <f>SUMIF('Sprint 6'!$D$7:$D$24,A65,'Sprint 6'!$E$7:$E$24)</f>
        <v>10</v>
      </c>
      <c r="E65" s="57">
        <f>SUMIF('Sprint 6'!$D$32:$D$114,A65,'Sprint 6'!$E$32:$E$114)</f>
        <v>23</v>
      </c>
      <c r="F65" s="57">
        <f>SUMIF('Sprint 6'!$D$139:$D$181,A65,'Sprint 6'!$E$139:$E$181)</f>
        <v>9</v>
      </c>
      <c r="G65" s="57" t="s">
        <v>858</v>
      </c>
    </row>
    <row r="66" spans="1:7" ht="30" customHeight="1" x14ac:dyDescent="0.3">
      <c r="A66" s="1" t="s">
        <v>9</v>
      </c>
      <c r="B66" s="1"/>
      <c r="C66" s="57">
        <f>COUNTIF('Sprint 6'!$D$7:$D$24,A66)</f>
        <v>2</v>
      </c>
      <c r="D66" s="57">
        <f>SUMIF('Sprint 6'!$D$7:$D$24,A66,'Sprint 6'!$E$7:$E$24)</f>
        <v>10</v>
      </c>
      <c r="E66" s="57">
        <f>SUMIF('Sprint 6'!$D$32:$D$114,A66,'Sprint 6'!$E$32:$E$114)</f>
        <v>27</v>
      </c>
      <c r="F66" s="57">
        <f>SUMIF('Sprint 6'!$D$139:$D$181,A66,'Sprint 6'!$E$139:$E$181)</f>
        <v>6</v>
      </c>
      <c r="G66" s="57" t="s">
        <v>859</v>
      </c>
    </row>
    <row r="67" spans="1:7" ht="30" customHeight="1" x14ac:dyDescent="0.3">
      <c r="A67" s="2" t="s">
        <v>860</v>
      </c>
      <c r="B67" s="2"/>
      <c r="C67" s="58">
        <f>SUM(C62:C66)</f>
        <v>18</v>
      </c>
      <c r="D67" s="58">
        <f>SUM(D62:D66)</f>
        <v>102</v>
      </c>
      <c r="E67" s="58">
        <f>SUM(E62:E66)</f>
        <v>232</v>
      </c>
      <c r="F67" s="58">
        <f>SUM(F62:F66)</f>
        <v>64.5</v>
      </c>
      <c r="G67" s="58" t="s">
        <v>861</v>
      </c>
    </row>
  </sheetData>
  <mergeCells count="63">
    <mergeCell ref="A64:B64"/>
    <mergeCell ref="A65:B65"/>
    <mergeCell ref="A66:B66"/>
    <mergeCell ref="A67:B67"/>
    <mergeCell ref="A58:B58"/>
    <mergeCell ref="C58:G58"/>
    <mergeCell ref="A61:B61"/>
    <mergeCell ref="A62:B62"/>
    <mergeCell ref="A63:B63"/>
    <mergeCell ref="A55:B55"/>
    <mergeCell ref="C55:G55"/>
    <mergeCell ref="A56:B56"/>
    <mergeCell ref="C56:G56"/>
    <mergeCell ref="A57:B57"/>
    <mergeCell ref="C57:G57"/>
    <mergeCell ref="A50:B50"/>
    <mergeCell ref="C50:G50"/>
    <mergeCell ref="A53:B53"/>
    <mergeCell ref="C53:G53"/>
    <mergeCell ref="A54:B54"/>
    <mergeCell ref="C54:G54"/>
    <mergeCell ref="A47:B47"/>
    <mergeCell ref="C47:G47"/>
    <mergeCell ref="A48:B48"/>
    <mergeCell ref="C48:G48"/>
    <mergeCell ref="A49:B49"/>
    <mergeCell ref="C49:G49"/>
    <mergeCell ref="A44:B44"/>
    <mergeCell ref="C44:G44"/>
    <mergeCell ref="A45:B45"/>
    <mergeCell ref="C45:G45"/>
    <mergeCell ref="A46:B46"/>
    <mergeCell ref="C46:G46"/>
    <mergeCell ref="A41:B41"/>
    <mergeCell ref="C41:G41"/>
    <mergeCell ref="A42:B42"/>
    <mergeCell ref="C42:G42"/>
    <mergeCell ref="A43:B43"/>
    <mergeCell ref="C43:G43"/>
    <mergeCell ref="A36:B36"/>
    <mergeCell ref="C36:G36"/>
    <mergeCell ref="A39:B39"/>
    <mergeCell ref="C39:G39"/>
    <mergeCell ref="A40:B40"/>
    <mergeCell ref="C40:G40"/>
    <mergeCell ref="A12:B12"/>
    <mergeCell ref="C12:G12"/>
    <mergeCell ref="A13:B13"/>
    <mergeCell ref="C13:G13"/>
    <mergeCell ref="A14:B14"/>
    <mergeCell ref="C14:G14"/>
    <mergeCell ref="A7:B7"/>
    <mergeCell ref="C7:G7"/>
    <mergeCell ref="A8:B8"/>
    <mergeCell ref="C8:G8"/>
    <mergeCell ref="A9:B9"/>
    <mergeCell ref="C9:G9"/>
    <mergeCell ref="A1:G1"/>
    <mergeCell ref="A2:G2"/>
    <mergeCell ref="A5:B5"/>
    <mergeCell ref="C5:G5"/>
    <mergeCell ref="A6:B6"/>
    <mergeCell ref="C6:G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94"/>
  <sheetViews>
    <sheetView tabSelected="1" zoomScaleNormal="100" workbookViewId="0">
      <pane ySplit="4" topLeftCell="A71" activePane="bottomLeft" state="frozen"/>
      <selection pane="bottomLeft" activeCell="H7" sqref="H7"/>
    </sheetView>
  </sheetViews>
  <sheetFormatPr defaultColWidth="8.6640625" defaultRowHeight="14.4" x14ac:dyDescent="0.3"/>
  <cols>
    <col min="1" max="1" width="11" customWidth="1"/>
    <col min="2" max="2" width="14" customWidth="1"/>
    <col min="3" max="3" width="52" customWidth="1"/>
    <col min="4" max="4" width="26" customWidth="1"/>
    <col min="5" max="5" width="13" customWidth="1"/>
    <col min="6" max="6" width="46" customWidth="1"/>
  </cols>
  <sheetData>
    <row r="1" spans="1:6" ht="17.399999999999999" x14ac:dyDescent="0.3">
      <c r="A1" s="6" t="s">
        <v>862</v>
      </c>
      <c r="B1" s="6"/>
      <c r="C1" s="6"/>
      <c r="D1" s="6"/>
      <c r="E1" s="6"/>
      <c r="F1" s="6"/>
    </row>
    <row r="2" spans="1:6" x14ac:dyDescent="0.3">
      <c r="A2" s="5" t="s">
        <v>863</v>
      </c>
      <c r="B2" s="5"/>
      <c r="C2" s="5"/>
      <c r="D2" s="5"/>
      <c r="E2" s="5"/>
      <c r="F2" s="5"/>
    </row>
    <row r="3" spans="1:6" ht="66" customHeight="1" x14ac:dyDescent="0.3">
      <c r="A3" s="9" t="s">
        <v>864</v>
      </c>
      <c r="B3" s="9"/>
      <c r="C3" s="9"/>
      <c r="D3" s="9"/>
      <c r="E3" s="9"/>
      <c r="F3" s="9"/>
    </row>
    <row r="5" spans="1:6" x14ac:dyDescent="0.3">
      <c r="A5" s="56" t="s">
        <v>173</v>
      </c>
    </row>
    <row r="6" spans="1:6" ht="15" customHeight="1" x14ac:dyDescent="0.3">
      <c r="A6" s="43" t="s">
        <v>174</v>
      </c>
      <c r="B6" s="4" t="s">
        <v>24</v>
      </c>
      <c r="C6" s="4"/>
      <c r="D6" s="44" t="s">
        <v>29</v>
      </c>
      <c r="E6" s="44" t="s">
        <v>26</v>
      </c>
      <c r="F6" s="44" t="s">
        <v>175</v>
      </c>
    </row>
    <row r="7" spans="1:6" ht="261" customHeight="1" x14ac:dyDescent="0.3">
      <c r="A7" s="57" t="s">
        <v>754</v>
      </c>
      <c r="B7" s="1" t="s">
        <v>865</v>
      </c>
      <c r="C7" s="1"/>
      <c r="D7" s="57" t="s">
        <v>6</v>
      </c>
      <c r="E7" s="57">
        <v>5</v>
      </c>
      <c r="F7" s="57" t="s">
        <v>866</v>
      </c>
    </row>
    <row r="8" spans="1:6" ht="210" customHeight="1" x14ac:dyDescent="0.3">
      <c r="A8" s="57" t="s">
        <v>867</v>
      </c>
      <c r="B8" s="1" t="s">
        <v>868</v>
      </c>
      <c r="C8" s="1"/>
      <c r="D8" s="57" t="s">
        <v>6</v>
      </c>
      <c r="E8" s="57">
        <v>5</v>
      </c>
      <c r="F8" s="57" t="s">
        <v>869</v>
      </c>
    </row>
    <row r="9" spans="1:6" ht="210" customHeight="1" x14ac:dyDescent="0.3">
      <c r="A9" s="57" t="s">
        <v>761</v>
      </c>
      <c r="B9" s="1" t="s">
        <v>870</v>
      </c>
      <c r="C9" s="1"/>
      <c r="D9" s="57" t="s">
        <v>6</v>
      </c>
      <c r="E9" s="57">
        <v>5</v>
      </c>
      <c r="F9" s="57" t="s">
        <v>871</v>
      </c>
    </row>
    <row r="10" spans="1:6" ht="146.25" customHeight="1" x14ac:dyDescent="0.3">
      <c r="A10" s="57" t="s">
        <v>872</v>
      </c>
      <c r="B10" s="1" t="s">
        <v>873</v>
      </c>
      <c r="C10" s="1"/>
      <c r="D10" s="57" t="s">
        <v>6</v>
      </c>
      <c r="E10" s="57">
        <v>5</v>
      </c>
      <c r="F10" s="57" t="s">
        <v>874</v>
      </c>
    </row>
    <row r="11" spans="1:6" ht="261" customHeight="1" x14ac:dyDescent="0.3">
      <c r="A11" s="57" t="s">
        <v>875</v>
      </c>
      <c r="B11" s="1" t="s">
        <v>876</v>
      </c>
      <c r="C11" s="1"/>
      <c r="D11" s="57" t="s">
        <v>6</v>
      </c>
      <c r="E11" s="57">
        <v>5</v>
      </c>
      <c r="F11" s="57" t="s">
        <v>877</v>
      </c>
    </row>
    <row r="12" spans="1:6" ht="197.25" customHeight="1" x14ac:dyDescent="0.3">
      <c r="A12" s="57" t="s">
        <v>878</v>
      </c>
      <c r="B12" s="1" t="s">
        <v>879</v>
      </c>
      <c r="C12" s="1"/>
      <c r="D12" s="57" t="s">
        <v>6</v>
      </c>
      <c r="E12" s="57">
        <v>5</v>
      </c>
      <c r="F12" s="57" t="s">
        <v>880</v>
      </c>
    </row>
    <row r="13" spans="1:6" ht="235.5" customHeight="1" x14ac:dyDescent="0.3">
      <c r="A13" s="57" t="s">
        <v>881</v>
      </c>
      <c r="B13" s="1" t="s">
        <v>882</v>
      </c>
      <c r="C13" s="1"/>
      <c r="D13" s="57" t="s">
        <v>6</v>
      </c>
      <c r="E13" s="57">
        <v>5</v>
      </c>
      <c r="F13" s="57" t="s">
        <v>883</v>
      </c>
    </row>
    <row r="14" spans="1:6" ht="324.75" customHeight="1" x14ac:dyDescent="0.3">
      <c r="A14" s="57" t="s">
        <v>778</v>
      </c>
      <c r="B14" s="1" t="s">
        <v>884</v>
      </c>
      <c r="C14" s="1"/>
      <c r="D14" s="57" t="s">
        <v>6</v>
      </c>
      <c r="E14" s="57">
        <v>8</v>
      </c>
      <c r="F14" s="57" t="s">
        <v>885</v>
      </c>
    </row>
    <row r="15" spans="1:6" ht="324.75" customHeight="1" x14ac:dyDescent="0.3">
      <c r="A15" s="57" t="s">
        <v>786</v>
      </c>
      <c r="B15" s="1" t="s">
        <v>886</v>
      </c>
      <c r="C15" s="1"/>
      <c r="D15" s="57" t="s">
        <v>6</v>
      </c>
      <c r="E15" s="57">
        <v>8</v>
      </c>
      <c r="F15" s="57" t="s">
        <v>887</v>
      </c>
    </row>
    <row r="16" spans="1:6" ht="235.5" customHeight="1" x14ac:dyDescent="0.3">
      <c r="A16" s="57" t="s">
        <v>888</v>
      </c>
      <c r="B16" s="1" t="s">
        <v>889</v>
      </c>
      <c r="C16" s="1"/>
      <c r="D16" s="57" t="s">
        <v>6</v>
      </c>
      <c r="E16" s="57">
        <v>5</v>
      </c>
      <c r="F16" s="57" t="s">
        <v>890</v>
      </c>
    </row>
    <row r="17" spans="1:6" ht="184.5" customHeight="1" x14ac:dyDescent="0.3">
      <c r="A17" s="57" t="s">
        <v>891</v>
      </c>
      <c r="B17" s="1" t="s">
        <v>892</v>
      </c>
      <c r="C17" s="1"/>
      <c r="D17" s="57" t="s">
        <v>12</v>
      </c>
      <c r="E17" s="57">
        <v>5</v>
      </c>
      <c r="F17" s="57" t="s">
        <v>893</v>
      </c>
    </row>
    <row r="18" spans="1:6" ht="222.75" customHeight="1" x14ac:dyDescent="0.3">
      <c r="A18" s="57" t="s">
        <v>894</v>
      </c>
      <c r="B18" s="1" t="s">
        <v>895</v>
      </c>
      <c r="C18" s="1"/>
      <c r="D18" s="57" t="s">
        <v>12</v>
      </c>
      <c r="E18" s="57">
        <v>8</v>
      </c>
      <c r="F18" s="57" t="s">
        <v>896</v>
      </c>
    </row>
    <row r="19" spans="1:6" ht="273.75" customHeight="1" x14ac:dyDescent="0.3">
      <c r="A19" s="57" t="s">
        <v>897</v>
      </c>
      <c r="B19" s="1" t="s">
        <v>898</v>
      </c>
      <c r="C19" s="1"/>
      <c r="D19" s="57" t="s">
        <v>18</v>
      </c>
      <c r="E19" s="57">
        <v>8</v>
      </c>
      <c r="F19" s="57" t="s">
        <v>899</v>
      </c>
    </row>
    <row r="20" spans="1:6" ht="222.75" customHeight="1" x14ac:dyDescent="0.3">
      <c r="A20" s="57" t="s">
        <v>900</v>
      </c>
      <c r="B20" s="1" t="s">
        <v>901</v>
      </c>
      <c r="C20" s="1"/>
      <c r="D20" s="57" t="s">
        <v>18</v>
      </c>
      <c r="E20" s="57">
        <v>5</v>
      </c>
      <c r="F20" s="57" t="s">
        <v>902</v>
      </c>
    </row>
    <row r="21" spans="1:6" ht="184.5" customHeight="1" x14ac:dyDescent="0.3">
      <c r="A21" s="57" t="s">
        <v>903</v>
      </c>
      <c r="B21" s="1" t="s">
        <v>904</v>
      </c>
      <c r="C21" s="1"/>
      <c r="D21" s="57" t="s">
        <v>15</v>
      </c>
      <c r="E21" s="57">
        <v>5</v>
      </c>
      <c r="F21" s="57" t="s">
        <v>905</v>
      </c>
    </row>
    <row r="22" spans="1:6" ht="184.5" customHeight="1" x14ac:dyDescent="0.3">
      <c r="A22" s="57" t="s">
        <v>906</v>
      </c>
      <c r="B22" s="1" t="s">
        <v>907</v>
      </c>
      <c r="C22" s="1"/>
      <c r="D22" s="57" t="s">
        <v>15</v>
      </c>
      <c r="E22" s="57">
        <v>5</v>
      </c>
      <c r="F22" s="57" t="s">
        <v>908</v>
      </c>
    </row>
    <row r="23" spans="1:6" ht="197.25" customHeight="1" x14ac:dyDescent="0.3">
      <c r="A23" s="57" t="s">
        <v>909</v>
      </c>
      <c r="B23" s="1" t="s">
        <v>910</v>
      </c>
      <c r="C23" s="1"/>
      <c r="D23" s="57" t="s">
        <v>9</v>
      </c>
      <c r="E23" s="57">
        <v>5</v>
      </c>
      <c r="F23" s="57" t="s">
        <v>911</v>
      </c>
    </row>
    <row r="24" spans="1:6" ht="261" customHeight="1" x14ac:dyDescent="0.3">
      <c r="A24" s="57" t="s">
        <v>912</v>
      </c>
      <c r="B24" s="1" t="s">
        <v>913</v>
      </c>
      <c r="C24" s="1"/>
      <c r="D24" s="57" t="s">
        <v>9</v>
      </c>
      <c r="E24" s="57">
        <v>5</v>
      </c>
      <c r="F24" s="57" t="s">
        <v>914</v>
      </c>
    </row>
    <row r="26" spans="1:6" x14ac:dyDescent="0.3">
      <c r="A26" s="56" t="s">
        <v>915</v>
      </c>
    </row>
    <row r="27" spans="1:6" ht="26.4" x14ac:dyDescent="0.3">
      <c r="A27" s="43" t="s">
        <v>174</v>
      </c>
      <c r="B27" s="44" t="s">
        <v>189</v>
      </c>
      <c r="C27" s="44" t="s">
        <v>190</v>
      </c>
      <c r="D27" s="44" t="s">
        <v>29</v>
      </c>
      <c r="E27" s="44" t="s">
        <v>191</v>
      </c>
      <c r="F27" s="44" t="s">
        <v>27</v>
      </c>
    </row>
    <row r="28" spans="1:6" ht="42" customHeight="1" x14ac:dyDescent="0.3">
      <c r="A28" s="57" t="s">
        <v>629</v>
      </c>
      <c r="B28" s="57" t="s">
        <v>629</v>
      </c>
      <c r="C28" s="57" t="s">
        <v>916</v>
      </c>
      <c r="D28" s="57" t="s">
        <v>629</v>
      </c>
      <c r="E28" s="57">
        <v>0</v>
      </c>
      <c r="F28" s="47" t="s">
        <v>34</v>
      </c>
    </row>
    <row r="30" spans="1:6" x14ac:dyDescent="0.3">
      <c r="A30" s="56" t="s">
        <v>631</v>
      </c>
    </row>
    <row r="31" spans="1:6" ht="26.4" x14ac:dyDescent="0.3">
      <c r="A31" s="43" t="s">
        <v>174</v>
      </c>
      <c r="B31" s="44" t="s">
        <v>189</v>
      </c>
      <c r="C31" s="44" t="s">
        <v>190</v>
      </c>
      <c r="D31" s="44" t="s">
        <v>29</v>
      </c>
      <c r="E31" s="44" t="s">
        <v>191</v>
      </c>
      <c r="F31" s="44" t="s">
        <v>27</v>
      </c>
    </row>
    <row r="32" spans="1:6" ht="44.25" customHeight="1" x14ac:dyDescent="0.3">
      <c r="A32" s="57" t="s">
        <v>754</v>
      </c>
      <c r="B32" s="57" t="s">
        <v>192</v>
      </c>
      <c r="C32" s="57" t="s">
        <v>917</v>
      </c>
      <c r="D32" s="57" t="s">
        <v>6</v>
      </c>
      <c r="E32" s="57">
        <v>1</v>
      </c>
      <c r="F32" s="54" t="s">
        <v>118</v>
      </c>
    </row>
    <row r="33" spans="1:6" ht="31.5" customHeight="1" x14ac:dyDescent="0.3">
      <c r="A33" s="57" t="s">
        <v>754</v>
      </c>
      <c r="B33" s="57" t="s">
        <v>194</v>
      </c>
      <c r="C33" s="57" t="s">
        <v>918</v>
      </c>
      <c r="D33" s="57" t="s">
        <v>6</v>
      </c>
      <c r="E33" s="57">
        <v>1</v>
      </c>
      <c r="F33" s="54" t="s">
        <v>118</v>
      </c>
    </row>
    <row r="34" spans="1:6" ht="44.25" customHeight="1" x14ac:dyDescent="0.3">
      <c r="A34" s="57" t="s">
        <v>754</v>
      </c>
      <c r="B34" s="57" t="s">
        <v>196</v>
      </c>
      <c r="C34" s="57" t="s">
        <v>919</v>
      </c>
      <c r="D34" s="57" t="s">
        <v>6</v>
      </c>
      <c r="E34" s="57">
        <v>3</v>
      </c>
      <c r="F34" s="54" t="s">
        <v>118</v>
      </c>
    </row>
    <row r="35" spans="1:6" ht="31.5" customHeight="1" x14ac:dyDescent="0.3">
      <c r="A35" s="57" t="s">
        <v>754</v>
      </c>
      <c r="B35" s="57" t="s">
        <v>196</v>
      </c>
      <c r="C35" s="57" t="s">
        <v>920</v>
      </c>
      <c r="D35" s="57" t="s">
        <v>6</v>
      </c>
      <c r="E35" s="57">
        <v>2</v>
      </c>
      <c r="F35" s="54" t="s">
        <v>118</v>
      </c>
    </row>
    <row r="36" spans="1:6" ht="44.25" customHeight="1" x14ac:dyDescent="0.3">
      <c r="A36" s="57" t="s">
        <v>754</v>
      </c>
      <c r="B36" s="57" t="s">
        <v>198</v>
      </c>
      <c r="C36" s="57" t="s">
        <v>921</v>
      </c>
      <c r="D36" s="57" t="s">
        <v>6</v>
      </c>
      <c r="E36" s="57">
        <v>3</v>
      </c>
      <c r="F36" s="54" t="s">
        <v>118</v>
      </c>
    </row>
    <row r="37" spans="1:6" ht="44.25" customHeight="1" x14ac:dyDescent="0.3">
      <c r="A37" s="57" t="s">
        <v>754</v>
      </c>
      <c r="B37" s="57" t="s">
        <v>200</v>
      </c>
      <c r="C37" s="57" t="s">
        <v>922</v>
      </c>
      <c r="D37" s="57" t="s">
        <v>6</v>
      </c>
      <c r="E37" s="57">
        <v>2</v>
      </c>
      <c r="F37" s="54" t="s">
        <v>118</v>
      </c>
    </row>
    <row r="38" spans="1:6" ht="31.5" customHeight="1" x14ac:dyDescent="0.3">
      <c r="A38" s="57" t="s">
        <v>867</v>
      </c>
      <c r="B38" s="57" t="s">
        <v>192</v>
      </c>
      <c r="C38" s="57" t="s">
        <v>923</v>
      </c>
      <c r="D38" s="57" t="s">
        <v>6</v>
      </c>
      <c r="E38" s="57">
        <v>1</v>
      </c>
      <c r="F38" s="54" t="s">
        <v>118</v>
      </c>
    </row>
    <row r="39" spans="1:6" ht="31.5" customHeight="1" x14ac:dyDescent="0.3">
      <c r="A39" s="57" t="s">
        <v>867</v>
      </c>
      <c r="B39" s="57" t="s">
        <v>196</v>
      </c>
      <c r="C39" s="57" t="s">
        <v>924</v>
      </c>
      <c r="D39" s="57" t="s">
        <v>6</v>
      </c>
      <c r="E39" s="57">
        <v>2</v>
      </c>
      <c r="F39" s="54" t="s">
        <v>118</v>
      </c>
    </row>
    <row r="40" spans="1:6" ht="31.5" customHeight="1" x14ac:dyDescent="0.3">
      <c r="A40" s="57" t="s">
        <v>867</v>
      </c>
      <c r="B40" s="57" t="s">
        <v>198</v>
      </c>
      <c r="C40" s="57" t="s">
        <v>925</v>
      </c>
      <c r="D40" s="57" t="s">
        <v>6</v>
      </c>
      <c r="E40" s="57">
        <v>6</v>
      </c>
      <c r="F40" s="54" t="s">
        <v>118</v>
      </c>
    </row>
    <row r="41" spans="1:6" ht="31.5" customHeight="1" x14ac:dyDescent="0.3">
      <c r="A41" s="57" t="s">
        <v>867</v>
      </c>
      <c r="B41" s="57" t="s">
        <v>200</v>
      </c>
      <c r="C41" s="57" t="s">
        <v>926</v>
      </c>
      <c r="D41" s="57" t="s">
        <v>6</v>
      </c>
      <c r="E41" s="57">
        <v>2</v>
      </c>
      <c r="F41" s="54" t="s">
        <v>118</v>
      </c>
    </row>
    <row r="42" spans="1:6" ht="31.5" customHeight="1" x14ac:dyDescent="0.3">
      <c r="A42" s="57" t="s">
        <v>761</v>
      </c>
      <c r="B42" s="57" t="s">
        <v>192</v>
      </c>
      <c r="C42" s="57" t="s">
        <v>927</v>
      </c>
      <c r="D42" s="57" t="s">
        <v>6</v>
      </c>
      <c r="E42" s="57">
        <v>1</v>
      </c>
      <c r="F42" s="54" t="s">
        <v>118</v>
      </c>
    </row>
    <row r="43" spans="1:6" ht="31.5" customHeight="1" x14ac:dyDescent="0.3">
      <c r="A43" s="57" t="s">
        <v>761</v>
      </c>
      <c r="B43" s="57" t="s">
        <v>194</v>
      </c>
      <c r="C43" s="57" t="s">
        <v>928</v>
      </c>
      <c r="D43" s="57" t="s">
        <v>6</v>
      </c>
      <c r="E43" s="57">
        <v>2</v>
      </c>
      <c r="F43" s="54" t="s">
        <v>118</v>
      </c>
    </row>
    <row r="44" spans="1:6" ht="31.5" customHeight="1" x14ac:dyDescent="0.3">
      <c r="A44" s="57" t="s">
        <v>761</v>
      </c>
      <c r="B44" s="57" t="s">
        <v>196</v>
      </c>
      <c r="C44" s="57" t="s">
        <v>929</v>
      </c>
      <c r="D44" s="57" t="s">
        <v>6</v>
      </c>
      <c r="E44" s="57">
        <v>3</v>
      </c>
      <c r="F44" s="54" t="s">
        <v>118</v>
      </c>
    </row>
    <row r="45" spans="1:6" ht="31.5" customHeight="1" x14ac:dyDescent="0.3">
      <c r="A45" s="57" t="s">
        <v>761</v>
      </c>
      <c r="B45" s="57" t="s">
        <v>196</v>
      </c>
      <c r="C45" s="57" t="s">
        <v>930</v>
      </c>
      <c r="D45" s="57" t="s">
        <v>6</v>
      </c>
      <c r="E45" s="57">
        <v>2</v>
      </c>
      <c r="F45" s="54" t="s">
        <v>118</v>
      </c>
    </row>
    <row r="46" spans="1:6" ht="31.5" customHeight="1" x14ac:dyDescent="0.3">
      <c r="A46" s="57" t="s">
        <v>761</v>
      </c>
      <c r="B46" s="57" t="s">
        <v>198</v>
      </c>
      <c r="C46" s="57" t="s">
        <v>931</v>
      </c>
      <c r="D46" s="57" t="s">
        <v>6</v>
      </c>
      <c r="E46" s="57">
        <v>3</v>
      </c>
      <c r="F46" s="54" t="s">
        <v>118</v>
      </c>
    </row>
    <row r="47" spans="1:6" ht="44.25" customHeight="1" x14ac:dyDescent="0.3">
      <c r="A47" s="57" t="s">
        <v>761</v>
      </c>
      <c r="B47" s="57" t="s">
        <v>200</v>
      </c>
      <c r="C47" s="57" t="s">
        <v>932</v>
      </c>
      <c r="D47" s="57" t="s">
        <v>6</v>
      </c>
      <c r="E47" s="57">
        <v>2</v>
      </c>
      <c r="F47" s="54" t="s">
        <v>118</v>
      </c>
    </row>
    <row r="48" spans="1:6" ht="31.5" customHeight="1" x14ac:dyDescent="0.3">
      <c r="A48" s="57" t="s">
        <v>872</v>
      </c>
      <c r="B48" s="57" t="s">
        <v>192</v>
      </c>
      <c r="C48" s="57" t="s">
        <v>933</v>
      </c>
      <c r="D48" s="57" t="s">
        <v>6</v>
      </c>
      <c r="E48" s="57">
        <v>1</v>
      </c>
      <c r="F48" s="54" t="s">
        <v>118</v>
      </c>
    </row>
    <row r="49" spans="1:6" ht="31.5" customHeight="1" x14ac:dyDescent="0.3">
      <c r="A49" s="57" t="s">
        <v>872</v>
      </c>
      <c r="B49" s="57" t="s">
        <v>198</v>
      </c>
      <c r="C49" s="57" t="s">
        <v>934</v>
      </c>
      <c r="D49" s="57" t="s">
        <v>6</v>
      </c>
      <c r="E49" s="57">
        <v>5</v>
      </c>
      <c r="F49" s="54" t="s">
        <v>118</v>
      </c>
    </row>
    <row r="50" spans="1:6" ht="31.5" customHeight="1" x14ac:dyDescent="0.3">
      <c r="A50" s="57" t="s">
        <v>872</v>
      </c>
      <c r="B50" s="57" t="s">
        <v>200</v>
      </c>
      <c r="C50" s="57" t="s">
        <v>935</v>
      </c>
      <c r="D50" s="57" t="s">
        <v>6</v>
      </c>
      <c r="E50" s="57">
        <v>2</v>
      </c>
      <c r="F50" s="54" t="s">
        <v>118</v>
      </c>
    </row>
    <row r="51" spans="1:6" ht="31.5" customHeight="1" x14ac:dyDescent="0.3">
      <c r="A51" s="57" t="s">
        <v>875</v>
      </c>
      <c r="B51" s="57" t="s">
        <v>192</v>
      </c>
      <c r="C51" s="57" t="s">
        <v>936</v>
      </c>
      <c r="D51" s="57" t="s">
        <v>6</v>
      </c>
      <c r="E51" s="57">
        <v>1</v>
      </c>
      <c r="F51" s="54" t="s">
        <v>118</v>
      </c>
    </row>
    <row r="52" spans="1:6" ht="18.75" customHeight="1" x14ac:dyDescent="0.3">
      <c r="A52" s="57" t="s">
        <v>875</v>
      </c>
      <c r="B52" s="57" t="s">
        <v>196</v>
      </c>
      <c r="C52" s="57" t="s">
        <v>937</v>
      </c>
      <c r="D52" s="57" t="s">
        <v>6</v>
      </c>
      <c r="E52" s="57">
        <v>4</v>
      </c>
      <c r="F52" s="54" t="s">
        <v>118</v>
      </c>
    </row>
    <row r="53" spans="1:6" ht="44.25" customHeight="1" x14ac:dyDescent="0.3">
      <c r="A53" s="57" t="s">
        <v>875</v>
      </c>
      <c r="B53" s="57" t="s">
        <v>196</v>
      </c>
      <c r="C53" s="57" t="s">
        <v>938</v>
      </c>
      <c r="D53" s="57" t="s">
        <v>6</v>
      </c>
      <c r="E53" s="57">
        <v>4</v>
      </c>
      <c r="F53" s="54" t="s">
        <v>118</v>
      </c>
    </row>
    <row r="54" spans="1:6" ht="44.25" customHeight="1" x14ac:dyDescent="0.3">
      <c r="A54" s="57" t="s">
        <v>875</v>
      </c>
      <c r="B54" s="57" t="s">
        <v>198</v>
      </c>
      <c r="C54" s="57" t="s">
        <v>939</v>
      </c>
      <c r="D54" s="57" t="s">
        <v>6</v>
      </c>
      <c r="E54" s="57">
        <v>4</v>
      </c>
      <c r="F54" s="54" t="s">
        <v>118</v>
      </c>
    </row>
    <row r="55" spans="1:6" ht="44.25" customHeight="1" x14ac:dyDescent="0.3">
      <c r="A55" s="57" t="s">
        <v>875</v>
      </c>
      <c r="B55" s="57" t="s">
        <v>200</v>
      </c>
      <c r="C55" s="57" t="s">
        <v>940</v>
      </c>
      <c r="D55" s="57" t="s">
        <v>6</v>
      </c>
      <c r="E55" s="57">
        <v>2</v>
      </c>
      <c r="F55" s="54" t="s">
        <v>118</v>
      </c>
    </row>
    <row r="56" spans="1:6" ht="31.5" customHeight="1" x14ac:dyDescent="0.3">
      <c r="A56" s="57" t="s">
        <v>878</v>
      </c>
      <c r="B56" s="57" t="s">
        <v>192</v>
      </c>
      <c r="C56" s="57" t="s">
        <v>941</v>
      </c>
      <c r="D56" s="57" t="s">
        <v>6</v>
      </c>
      <c r="E56" s="57">
        <v>1</v>
      </c>
      <c r="F56" s="54" t="s">
        <v>118</v>
      </c>
    </row>
    <row r="57" spans="1:6" ht="44.25" customHeight="1" x14ac:dyDescent="0.3">
      <c r="A57" s="57" t="s">
        <v>878</v>
      </c>
      <c r="B57" s="57" t="s">
        <v>196</v>
      </c>
      <c r="C57" s="57" t="s">
        <v>942</v>
      </c>
      <c r="D57" s="57" t="s">
        <v>6</v>
      </c>
      <c r="E57" s="57">
        <v>4</v>
      </c>
      <c r="F57" s="54" t="s">
        <v>118</v>
      </c>
    </row>
    <row r="58" spans="1:6" ht="31.5" customHeight="1" x14ac:dyDescent="0.3">
      <c r="A58" s="57" t="s">
        <v>878</v>
      </c>
      <c r="B58" s="57" t="s">
        <v>198</v>
      </c>
      <c r="C58" s="57" t="s">
        <v>943</v>
      </c>
      <c r="D58" s="57" t="s">
        <v>6</v>
      </c>
      <c r="E58" s="57">
        <v>5</v>
      </c>
      <c r="F58" s="54" t="s">
        <v>118</v>
      </c>
    </row>
    <row r="59" spans="1:6" ht="44.25" customHeight="1" x14ac:dyDescent="0.3">
      <c r="A59" s="57" t="s">
        <v>878</v>
      </c>
      <c r="B59" s="57" t="s">
        <v>200</v>
      </c>
      <c r="C59" s="57" t="s">
        <v>944</v>
      </c>
      <c r="D59" s="57" t="s">
        <v>6</v>
      </c>
      <c r="E59" s="57">
        <v>2</v>
      </c>
      <c r="F59" s="54" t="s">
        <v>118</v>
      </c>
    </row>
    <row r="60" spans="1:6" ht="31.5" customHeight="1" x14ac:dyDescent="0.3">
      <c r="A60" s="57" t="s">
        <v>881</v>
      </c>
      <c r="B60" s="57" t="s">
        <v>192</v>
      </c>
      <c r="C60" s="57" t="s">
        <v>945</v>
      </c>
      <c r="D60" s="57" t="s">
        <v>6</v>
      </c>
      <c r="E60" s="57">
        <v>1</v>
      </c>
      <c r="F60" s="54" t="s">
        <v>118</v>
      </c>
    </row>
    <row r="61" spans="1:6" ht="44.25" customHeight="1" x14ac:dyDescent="0.3">
      <c r="A61" s="57" t="s">
        <v>881</v>
      </c>
      <c r="B61" s="57" t="s">
        <v>196</v>
      </c>
      <c r="C61" s="57" t="s">
        <v>946</v>
      </c>
      <c r="D61" s="57" t="s">
        <v>6</v>
      </c>
      <c r="E61" s="57">
        <v>4</v>
      </c>
      <c r="F61" s="54" t="s">
        <v>118</v>
      </c>
    </row>
    <row r="62" spans="1:6" ht="44.25" customHeight="1" x14ac:dyDescent="0.3">
      <c r="A62" s="57" t="s">
        <v>881</v>
      </c>
      <c r="B62" s="57" t="s">
        <v>198</v>
      </c>
      <c r="C62" s="57" t="s">
        <v>947</v>
      </c>
      <c r="D62" s="57" t="s">
        <v>6</v>
      </c>
      <c r="E62" s="57">
        <v>5</v>
      </c>
      <c r="F62" s="54" t="s">
        <v>118</v>
      </c>
    </row>
    <row r="63" spans="1:6" ht="31.5" customHeight="1" x14ac:dyDescent="0.3">
      <c r="A63" s="57" t="s">
        <v>881</v>
      </c>
      <c r="B63" s="57" t="s">
        <v>200</v>
      </c>
      <c r="C63" s="57" t="s">
        <v>948</v>
      </c>
      <c r="D63" s="57" t="s">
        <v>6</v>
      </c>
      <c r="E63" s="57">
        <v>2</v>
      </c>
      <c r="F63" s="54" t="s">
        <v>118</v>
      </c>
    </row>
    <row r="64" spans="1:6" ht="31.5" customHeight="1" x14ac:dyDescent="0.3">
      <c r="A64" s="57" t="s">
        <v>778</v>
      </c>
      <c r="B64" s="57" t="s">
        <v>192</v>
      </c>
      <c r="C64" s="57" t="s">
        <v>949</v>
      </c>
      <c r="D64" s="57" t="s">
        <v>6</v>
      </c>
      <c r="E64" s="57">
        <v>2</v>
      </c>
      <c r="F64" s="54" t="s">
        <v>118</v>
      </c>
    </row>
    <row r="65" spans="1:6" ht="31.5" customHeight="1" x14ac:dyDescent="0.3">
      <c r="A65" s="57" t="s">
        <v>778</v>
      </c>
      <c r="B65" s="57" t="s">
        <v>194</v>
      </c>
      <c r="C65" s="57" t="s">
        <v>950</v>
      </c>
      <c r="D65" s="57" t="s">
        <v>6</v>
      </c>
      <c r="E65" s="57">
        <v>2</v>
      </c>
      <c r="F65" s="54" t="s">
        <v>118</v>
      </c>
    </row>
    <row r="66" spans="1:6" ht="31.5" customHeight="1" x14ac:dyDescent="0.3">
      <c r="A66" s="57" t="s">
        <v>778</v>
      </c>
      <c r="B66" s="57" t="s">
        <v>196</v>
      </c>
      <c r="C66" s="57" t="s">
        <v>951</v>
      </c>
      <c r="D66" s="57" t="s">
        <v>6</v>
      </c>
      <c r="E66" s="57">
        <v>4</v>
      </c>
      <c r="F66" s="54" t="s">
        <v>118</v>
      </c>
    </row>
    <row r="67" spans="1:6" ht="44.25" customHeight="1" x14ac:dyDescent="0.3">
      <c r="A67" s="57" t="s">
        <v>778</v>
      </c>
      <c r="B67" s="57" t="s">
        <v>196</v>
      </c>
      <c r="C67" s="57" t="s">
        <v>952</v>
      </c>
      <c r="D67" s="57" t="s">
        <v>6</v>
      </c>
      <c r="E67" s="57">
        <v>4</v>
      </c>
      <c r="F67" s="54" t="s">
        <v>118</v>
      </c>
    </row>
    <row r="68" spans="1:6" ht="31.5" customHeight="1" x14ac:dyDescent="0.3">
      <c r="A68" s="57" t="s">
        <v>778</v>
      </c>
      <c r="B68" s="57" t="s">
        <v>198</v>
      </c>
      <c r="C68" s="57" t="s">
        <v>953</v>
      </c>
      <c r="D68" s="57" t="s">
        <v>6</v>
      </c>
      <c r="E68" s="57">
        <v>2</v>
      </c>
      <c r="F68" s="54" t="s">
        <v>118</v>
      </c>
    </row>
    <row r="69" spans="1:6" ht="44.25" customHeight="1" x14ac:dyDescent="0.3">
      <c r="A69" s="57" t="s">
        <v>778</v>
      </c>
      <c r="B69" s="57" t="s">
        <v>200</v>
      </c>
      <c r="C69" s="57" t="s">
        <v>954</v>
      </c>
      <c r="D69" s="57" t="s">
        <v>6</v>
      </c>
      <c r="E69" s="57">
        <v>3</v>
      </c>
      <c r="F69" s="54" t="s">
        <v>118</v>
      </c>
    </row>
    <row r="70" spans="1:6" ht="31.5" customHeight="1" x14ac:dyDescent="0.3">
      <c r="A70" s="57" t="s">
        <v>786</v>
      </c>
      <c r="B70" s="57" t="s">
        <v>192</v>
      </c>
      <c r="C70" s="57" t="s">
        <v>955</v>
      </c>
      <c r="D70" s="57" t="s">
        <v>6</v>
      </c>
      <c r="E70" s="57">
        <v>2</v>
      </c>
      <c r="F70" s="54" t="s">
        <v>118</v>
      </c>
    </row>
    <row r="71" spans="1:6" ht="44.25" customHeight="1" x14ac:dyDescent="0.3">
      <c r="A71" s="57" t="s">
        <v>786</v>
      </c>
      <c r="B71" s="57" t="s">
        <v>194</v>
      </c>
      <c r="C71" s="57" t="s">
        <v>956</v>
      </c>
      <c r="D71" s="57" t="s">
        <v>6</v>
      </c>
      <c r="E71" s="57">
        <v>2</v>
      </c>
      <c r="F71" s="54" t="s">
        <v>118</v>
      </c>
    </row>
    <row r="72" spans="1:6" ht="44.25" customHeight="1" x14ac:dyDescent="0.3">
      <c r="A72" s="57" t="s">
        <v>786</v>
      </c>
      <c r="B72" s="57" t="s">
        <v>196</v>
      </c>
      <c r="C72" s="57" t="s">
        <v>957</v>
      </c>
      <c r="D72" s="57" t="s">
        <v>6</v>
      </c>
      <c r="E72" s="57">
        <v>8</v>
      </c>
      <c r="F72" s="54" t="s">
        <v>118</v>
      </c>
    </row>
    <row r="73" spans="1:6" ht="31.5" customHeight="1" x14ac:dyDescent="0.3">
      <c r="A73" s="57" t="s">
        <v>786</v>
      </c>
      <c r="B73" s="57" t="s">
        <v>196</v>
      </c>
      <c r="C73" s="57" t="s">
        <v>958</v>
      </c>
      <c r="D73" s="57" t="s">
        <v>6</v>
      </c>
      <c r="E73" s="57">
        <v>3</v>
      </c>
      <c r="F73" s="54" t="s">
        <v>118</v>
      </c>
    </row>
    <row r="74" spans="1:6" ht="44.25" customHeight="1" x14ac:dyDescent="0.3">
      <c r="A74" s="57" t="s">
        <v>786</v>
      </c>
      <c r="B74" s="57" t="s">
        <v>200</v>
      </c>
      <c r="C74" s="57" t="s">
        <v>959</v>
      </c>
      <c r="D74" s="57" t="s">
        <v>6</v>
      </c>
      <c r="E74" s="57">
        <v>3</v>
      </c>
      <c r="F74" s="54" t="s">
        <v>118</v>
      </c>
    </row>
    <row r="75" spans="1:6" ht="31.5" customHeight="1" x14ac:dyDescent="0.3">
      <c r="A75" s="57" t="s">
        <v>888</v>
      </c>
      <c r="B75" s="57" t="s">
        <v>192</v>
      </c>
      <c r="C75" s="57" t="s">
        <v>960</v>
      </c>
      <c r="D75" s="57" t="s">
        <v>6</v>
      </c>
      <c r="E75" s="57">
        <v>1</v>
      </c>
      <c r="F75" s="54" t="s">
        <v>118</v>
      </c>
    </row>
    <row r="76" spans="1:6" ht="44.25" customHeight="1" x14ac:dyDescent="0.3">
      <c r="A76" s="57" t="s">
        <v>888</v>
      </c>
      <c r="B76" s="57" t="s">
        <v>196</v>
      </c>
      <c r="C76" s="57" t="s">
        <v>961</v>
      </c>
      <c r="D76" s="57" t="s">
        <v>6</v>
      </c>
      <c r="E76" s="57">
        <v>3</v>
      </c>
      <c r="F76" s="54" t="s">
        <v>118</v>
      </c>
    </row>
    <row r="77" spans="1:6" ht="44.25" customHeight="1" x14ac:dyDescent="0.3">
      <c r="A77" s="57" t="s">
        <v>888</v>
      </c>
      <c r="B77" s="57" t="s">
        <v>198</v>
      </c>
      <c r="C77" s="57" t="s">
        <v>962</v>
      </c>
      <c r="D77" s="57" t="s">
        <v>6</v>
      </c>
      <c r="E77" s="57">
        <v>6</v>
      </c>
      <c r="F77" s="54" t="s">
        <v>118</v>
      </c>
    </row>
    <row r="78" spans="1:6" ht="44.25" customHeight="1" x14ac:dyDescent="0.3">
      <c r="A78" s="57" t="s">
        <v>888</v>
      </c>
      <c r="B78" s="57" t="s">
        <v>200</v>
      </c>
      <c r="C78" s="57" t="s">
        <v>963</v>
      </c>
      <c r="D78" s="57" t="s">
        <v>6</v>
      </c>
      <c r="E78" s="57">
        <v>2</v>
      </c>
      <c r="F78" s="54" t="s">
        <v>118</v>
      </c>
    </row>
    <row r="79" spans="1:6" ht="31.5" customHeight="1" x14ac:dyDescent="0.3">
      <c r="A79" s="57" t="s">
        <v>891</v>
      </c>
      <c r="B79" s="57" t="s">
        <v>192</v>
      </c>
      <c r="C79" s="57" t="s">
        <v>964</v>
      </c>
      <c r="D79" s="57" t="s">
        <v>12</v>
      </c>
      <c r="E79" s="57">
        <v>1</v>
      </c>
      <c r="F79" s="54" t="s">
        <v>118</v>
      </c>
    </row>
    <row r="80" spans="1:6" ht="31.5" customHeight="1" x14ac:dyDescent="0.3">
      <c r="A80" s="57" t="s">
        <v>891</v>
      </c>
      <c r="B80" s="57" t="s">
        <v>196</v>
      </c>
      <c r="C80" s="57" t="s">
        <v>965</v>
      </c>
      <c r="D80" s="57" t="s">
        <v>12</v>
      </c>
      <c r="E80" s="57">
        <v>2</v>
      </c>
      <c r="F80" s="54" t="s">
        <v>118</v>
      </c>
    </row>
    <row r="81" spans="1:6" ht="31.5" customHeight="1" x14ac:dyDescent="0.3">
      <c r="A81" s="57" t="s">
        <v>891</v>
      </c>
      <c r="B81" s="57" t="s">
        <v>198</v>
      </c>
      <c r="C81" s="57" t="s">
        <v>966</v>
      </c>
      <c r="D81" s="57" t="s">
        <v>12</v>
      </c>
      <c r="E81" s="57">
        <v>6</v>
      </c>
      <c r="F81" s="54" t="s">
        <v>118</v>
      </c>
    </row>
    <row r="82" spans="1:6" ht="44.25" customHeight="1" x14ac:dyDescent="0.3">
      <c r="A82" s="57" t="s">
        <v>891</v>
      </c>
      <c r="B82" s="57" t="s">
        <v>200</v>
      </c>
      <c r="C82" s="57" t="s">
        <v>967</v>
      </c>
      <c r="D82" s="57" t="s">
        <v>12</v>
      </c>
      <c r="E82" s="57">
        <v>2</v>
      </c>
      <c r="F82" s="54" t="s">
        <v>118</v>
      </c>
    </row>
    <row r="83" spans="1:6" ht="31.5" customHeight="1" x14ac:dyDescent="0.3">
      <c r="A83" s="57" t="s">
        <v>894</v>
      </c>
      <c r="B83" s="57" t="s">
        <v>192</v>
      </c>
      <c r="C83" s="57" t="s">
        <v>968</v>
      </c>
      <c r="D83" s="57" t="s">
        <v>12</v>
      </c>
      <c r="E83" s="57">
        <v>1</v>
      </c>
      <c r="F83" s="54" t="s">
        <v>118</v>
      </c>
    </row>
    <row r="84" spans="1:6" ht="44.25" customHeight="1" x14ac:dyDescent="0.3">
      <c r="A84" s="57" t="s">
        <v>894</v>
      </c>
      <c r="B84" s="57" t="s">
        <v>196</v>
      </c>
      <c r="C84" s="57" t="s">
        <v>969</v>
      </c>
      <c r="D84" s="57" t="s">
        <v>12</v>
      </c>
      <c r="E84" s="57">
        <v>3</v>
      </c>
      <c r="F84" s="54" t="s">
        <v>118</v>
      </c>
    </row>
    <row r="85" spans="1:6" ht="31.5" customHeight="1" x14ac:dyDescent="0.3">
      <c r="A85" s="57" t="s">
        <v>894</v>
      </c>
      <c r="B85" s="57" t="s">
        <v>198</v>
      </c>
      <c r="C85" s="57" t="s">
        <v>970</v>
      </c>
      <c r="D85" s="57" t="s">
        <v>12</v>
      </c>
      <c r="E85" s="57">
        <v>8</v>
      </c>
      <c r="F85" s="54" t="s">
        <v>118</v>
      </c>
    </row>
    <row r="86" spans="1:6" ht="31.5" customHeight="1" x14ac:dyDescent="0.3">
      <c r="A86" s="57" t="s">
        <v>894</v>
      </c>
      <c r="B86" s="57" t="s">
        <v>200</v>
      </c>
      <c r="C86" s="57" t="s">
        <v>971</v>
      </c>
      <c r="D86" s="57" t="s">
        <v>12</v>
      </c>
      <c r="E86" s="57">
        <v>2</v>
      </c>
      <c r="F86" s="54" t="s">
        <v>118</v>
      </c>
    </row>
    <row r="87" spans="1:6" ht="31.5" customHeight="1" x14ac:dyDescent="0.3">
      <c r="A87" s="57" t="s">
        <v>897</v>
      </c>
      <c r="B87" s="57" t="s">
        <v>192</v>
      </c>
      <c r="C87" s="57" t="s">
        <v>972</v>
      </c>
      <c r="D87" s="57" t="s">
        <v>18</v>
      </c>
      <c r="E87" s="57">
        <v>1</v>
      </c>
      <c r="F87" s="54" t="s">
        <v>118</v>
      </c>
    </row>
    <row r="88" spans="1:6" ht="31.5" customHeight="1" x14ac:dyDescent="0.3">
      <c r="A88" s="57" t="s">
        <v>897</v>
      </c>
      <c r="B88" s="57" t="s">
        <v>194</v>
      </c>
      <c r="C88" s="57" t="s">
        <v>973</v>
      </c>
      <c r="D88" s="57" t="s">
        <v>18</v>
      </c>
      <c r="E88" s="57">
        <v>1</v>
      </c>
      <c r="F88" s="54" t="s">
        <v>118</v>
      </c>
    </row>
    <row r="89" spans="1:6" ht="44.25" customHeight="1" x14ac:dyDescent="0.3">
      <c r="A89" s="57" t="s">
        <v>897</v>
      </c>
      <c r="B89" s="57" t="s">
        <v>196</v>
      </c>
      <c r="C89" s="57" t="s">
        <v>974</v>
      </c>
      <c r="D89" s="57" t="s">
        <v>18</v>
      </c>
      <c r="E89" s="57">
        <v>4</v>
      </c>
      <c r="F89" s="54" t="s">
        <v>118</v>
      </c>
    </row>
    <row r="90" spans="1:6" ht="31.5" customHeight="1" x14ac:dyDescent="0.3">
      <c r="A90" s="57" t="s">
        <v>897</v>
      </c>
      <c r="B90" s="57" t="s">
        <v>198</v>
      </c>
      <c r="C90" s="57" t="s">
        <v>975</v>
      </c>
      <c r="D90" s="57" t="s">
        <v>18</v>
      </c>
      <c r="E90" s="57">
        <v>8</v>
      </c>
      <c r="F90" s="54" t="s">
        <v>118</v>
      </c>
    </row>
    <row r="91" spans="1:6" ht="44.25" customHeight="1" x14ac:dyDescent="0.3">
      <c r="A91" s="57" t="s">
        <v>897</v>
      </c>
      <c r="B91" s="57" t="s">
        <v>200</v>
      </c>
      <c r="C91" s="57" t="s">
        <v>976</v>
      </c>
      <c r="D91" s="57" t="s">
        <v>18</v>
      </c>
      <c r="E91" s="57">
        <v>2</v>
      </c>
      <c r="F91" s="54" t="s">
        <v>118</v>
      </c>
    </row>
    <row r="92" spans="1:6" ht="31.5" customHeight="1" x14ac:dyDescent="0.3">
      <c r="A92" s="57" t="s">
        <v>900</v>
      </c>
      <c r="B92" s="57" t="s">
        <v>192</v>
      </c>
      <c r="C92" s="57" t="s">
        <v>977</v>
      </c>
      <c r="D92" s="57" t="s">
        <v>18</v>
      </c>
      <c r="E92" s="57">
        <v>1</v>
      </c>
      <c r="F92" s="54" t="s">
        <v>118</v>
      </c>
    </row>
    <row r="93" spans="1:6" ht="31.5" customHeight="1" x14ac:dyDescent="0.3">
      <c r="A93" s="57" t="s">
        <v>900</v>
      </c>
      <c r="B93" s="57" t="s">
        <v>196</v>
      </c>
      <c r="C93" s="57" t="s">
        <v>978</v>
      </c>
      <c r="D93" s="57" t="s">
        <v>18</v>
      </c>
      <c r="E93" s="57">
        <v>4</v>
      </c>
      <c r="F93" s="54" t="s">
        <v>118</v>
      </c>
    </row>
    <row r="94" spans="1:6" ht="31.5" customHeight="1" x14ac:dyDescent="0.3">
      <c r="A94" s="57" t="s">
        <v>900</v>
      </c>
      <c r="B94" s="57" t="s">
        <v>198</v>
      </c>
      <c r="C94" s="57" t="s">
        <v>979</v>
      </c>
      <c r="D94" s="57" t="s">
        <v>18</v>
      </c>
      <c r="E94" s="57">
        <v>4</v>
      </c>
      <c r="F94" s="54" t="s">
        <v>118</v>
      </c>
    </row>
    <row r="95" spans="1:6" ht="44.25" customHeight="1" x14ac:dyDescent="0.3">
      <c r="A95" s="57" t="s">
        <v>900</v>
      </c>
      <c r="B95" s="57" t="s">
        <v>200</v>
      </c>
      <c r="C95" s="57" t="s">
        <v>980</v>
      </c>
      <c r="D95" s="57" t="s">
        <v>18</v>
      </c>
      <c r="E95" s="57">
        <v>2</v>
      </c>
      <c r="F95" s="54" t="s">
        <v>118</v>
      </c>
    </row>
    <row r="96" spans="1:6" ht="31.5" customHeight="1" x14ac:dyDescent="0.3">
      <c r="A96" s="57" t="s">
        <v>903</v>
      </c>
      <c r="B96" s="57" t="s">
        <v>192</v>
      </c>
      <c r="C96" s="57" t="s">
        <v>981</v>
      </c>
      <c r="D96" s="57" t="s">
        <v>15</v>
      </c>
      <c r="E96" s="57">
        <v>1</v>
      </c>
      <c r="F96" s="54" t="s">
        <v>118</v>
      </c>
    </row>
    <row r="97" spans="1:6" ht="31.5" customHeight="1" x14ac:dyDescent="0.3">
      <c r="A97" s="57" t="s">
        <v>903</v>
      </c>
      <c r="B97" s="57" t="s">
        <v>196</v>
      </c>
      <c r="C97" s="57" t="s">
        <v>982</v>
      </c>
      <c r="D97" s="57" t="s">
        <v>15</v>
      </c>
      <c r="E97" s="57">
        <v>4</v>
      </c>
      <c r="F97" s="54" t="s">
        <v>118</v>
      </c>
    </row>
    <row r="98" spans="1:6" ht="18.75" customHeight="1" x14ac:dyDescent="0.3">
      <c r="A98" s="57" t="s">
        <v>903</v>
      </c>
      <c r="B98" s="57" t="s">
        <v>198</v>
      </c>
      <c r="C98" s="57" t="s">
        <v>983</v>
      </c>
      <c r="D98" s="57" t="s">
        <v>15</v>
      </c>
      <c r="E98" s="57">
        <v>4</v>
      </c>
      <c r="F98" s="54" t="s">
        <v>118</v>
      </c>
    </row>
    <row r="99" spans="1:6" ht="44.25" customHeight="1" x14ac:dyDescent="0.3">
      <c r="A99" s="57" t="s">
        <v>903</v>
      </c>
      <c r="B99" s="57" t="s">
        <v>200</v>
      </c>
      <c r="C99" s="57" t="s">
        <v>984</v>
      </c>
      <c r="D99" s="57" t="s">
        <v>15</v>
      </c>
      <c r="E99" s="57">
        <v>2</v>
      </c>
      <c r="F99" s="54" t="s">
        <v>118</v>
      </c>
    </row>
    <row r="100" spans="1:6" ht="31.5" customHeight="1" x14ac:dyDescent="0.3">
      <c r="A100" s="57" t="s">
        <v>906</v>
      </c>
      <c r="B100" s="57" t="s">
        <v>192</v>
      </c>
      <c r="C100" s="57" t="s">
        <v>985</v>
      </c>
      <c r="D100" s="57" t="s">
        <v>15</v>
      </c>
      <c r="E100" s="57">
        <v>1</v>
      </c>
      <c r="F100" s="54" t="s">
        <v>118</v>
      </c>
    </row>
    <row r="101" spans="1:6" ht="31.5" customHeight="1" x14ac:dyDescent="0.3">
      <c r="A101" s="57" t="s">
        <v>906</v>
      </c>
      <c r="B101" s="57" t="s">
        <v>196</v>
      </c>
      <c r="C101" s="57" t="s">
        <v>986</v>
      </c>
      <c r="D101" s="57" t="s">
        <v>15</v>
      </c>
      <c r="E101" s="57">
        <v>4</v>
      </c>
      <c r="F101" s="54" t="s">
        <v>118</v>
      </c>
    </row>
    <row r="102" spans="1:6" ht="31.5" customHeight="1" x14ac:dyDescent="0.3">
      <c r="A102" s="57" t="s">
        <v>906</v>
      </c>
      <c r="B102" s="57" t="s">
        <v>198</v>
      </c>
      <c r="C102" s="57" t="s">
        <v>987</v>
      </c>
      <c r="D102" s="57" t="s">
        <v>15</v>
      </c>
      <c r="E102" s="57">
        <v>5</v>
      </c>
      <c r="F102" s="54" t="s">
        <v>118</v>
      </c>
    </row>
    <row r="103" spans="1:6" ht="31.5" customHeight="1" x14ac:dyDescent="0.3">
      <c r="A103" s="57" t="s">
        <v>906</v>
      </c>
      <c r="B103" s="57" t="s">
        <v>200</v>
      </c>
      <c r="C103" s="57" t="s">
        <v>988</v>
      </c>
      <c r="D103" s="57" t="s">
        <v>15</v>
      </c>
      <c r="E103" s="57">
        <v>2</v>
      </c>
      <c r="F103" s="54" t="s">
        <v>118</v>
      </c>
    </row>
    <row r="104" spans="1:6" ht="31.5" customHeight="1" x14ac:dyDescent="0.3">
      <c r="A104" s="57" t="s">
        <v>909</v>
      </c>
      <c r="B104" s="57" t="s">
        <v>192</v>
      </c>
      <c r="C104" s="57" t="s">
        <v>989</v>
      </c>
      <c r="D104" s="57" t="s">
        <v>9</v>
      </c>
      <c r="E104" s="57">
        <v>1</v>
      </c>
      <c r="F104" s="54" t="s">
        <v>118</v>
      </c>
    </row>
    <row r="105" spans="1:6" ht="31.5" customHeight="1" x14ac:dyDescent="0.3">
      <c r="A105" s="57" t="s">
        <v>909</v>
      </c>
      <c r="B105" s="57" t="s">
        <v>194</v>
      </c>
      <c r="C105" s="57" t="s">
        <v>990</v>
      </c>
      <c r="D105" s="57" t="s">
        <v>9</v>
      </c>
      <c r="E105" s="57">
        <v>1</v>
      </c>
      <c r="F105" s="54" t="s">
        <v>118</v>
      </c>
    </row>
    <row r="106" spans="1:6" ht="31.5" customHeight="1" x14ac:dyDescent="0.3">
      <c r="A106" s="57" t="s">
        <v>909</v>
      </c>
      <c r="B106" s="57" t="s">
        <v>196</v>
      </c>
      <c r="C106" s="57" t="s">
        <v>991</v>
      </c>
      <c r="D106" s="57" t="s">
        <v>9</v>
      </c>
      <c r="E106" s="57">
        <v>2</v>
      </c>
      <c r="F106" s="54" t="s">
        <v>118</v>
      </c>
    </row>
    <row r="107" spans="1:6" ht="31.5" customHeight="1" x14ac:dyDescent="0.3">
      <c r="A107" s="57" t="s">
        <v>909</v>
      </c>
      <c r="B107" s="57" t="s">
        <v>198</v>
      </c>
      <c r="C107" s="57" t="s">
        <v>992</v>
      </c>
      <c r="D107" s="57" t="s">
        <v>9</v>
      </c>
      <c r="E107" s="57">
        <v>5</v>
      </c>
      <c r="F107" s="54" t="s">
        <v>118</v>
      </c>
    </row>
    <row r="108" spans="1:6" ht="44.25" customHeight="1" x14ac:dyDescent="0.3">
      <c r="A108" s="57" t="s">
        <v>909</v>
      </c>
      <c r="B108" s="57" t="s">
        <v>200</v>
      </c>
      <c r="C108" s="57" t="s">
        <v>993</v>
      </c>
      <c r="D108" s="57" t="s">
        <v>9</v>
      </c>
      <c r="E108" s="57">
        <v>2</v>
      </c>
      <c r="F108" s="54" t="s">
        <v>118</v>
      </c>
    </row>
    <row r="109" spans="1:6" ht="31.5" customHeight="1" x14ac:dyDescent="0.3">
      <c r="A109" s="57" t="s">
        <v>912</v>
      </c>
      <c r="B109" s="57" t="s">
        <v>192</v>
      </c>
      <c r="C109" s="57" t="s">
        <v>994</v>
      </c>
      <c r="D109" s="57" t="s">
        <v>9</v>
      </c>
      <c r="E109" s="57">
        <v>2</v>
      </c>
      <c r="F109" s="54" t="s">
        <v>118</v>
      </c>
    </row>
    <row r="110" spans="1:6" ht="31.5" customHeight="1" x14ac:dyDescent="0.3">
      <c r="A110" s="57" t="s">
        <v>912</v>
      </c>
      <c r="B110" s="57" t="s">
        <v>196</v>
      </c>
      <c r="C110" s="57" t="s">
        <v>995</v>
      </c>
      <c r="D110" s="57" t="s">
        <v>9</v>
      </c>
      <c r="E110" s="57">
        <v>3</v>
      </c>
      <c r="F110" s="54" t="s">
        <v>118</v>
      </c>
    </row>
    <row r="111" spans="1:6" ht="31.5" customHeight="1" x14ac:dyDescent="0.3">
      <c r="A111" s="57" t="s">
        <v>912</v>
      </c>
      <c r="B111" s="57" t="s">
        <v>196</v>
      </c>
      <c r="C111" s="57" t="s">
        <v>996</v>
      </c>
      <c r="D111" s="57" t="s">
        <v>9</v>
      </c>
      <c r="E111" s="57">
        <v>3</v>
      </c>
      <c r="F111" s="54" t="s">
        <v>118</v>
      </c>
    </row>
    <row r="112" spans="1:6" ht="31.5" customHeight="1" x14ac:dyDescent="0.3">
      <c r="A112" s="57" t="s">
        <v>912</v>
      </c>
      <c r="B112" s="57" t="s">
        <v>200</v>
      </c>
      <c r="C112" s="57" t="s">
        <v>997</v>
      </c>
      <c r="D112" s="57" t="s">
        <v>9</v>
      </c>
      <c r="E112" s="57">
        <v>3</v>
      </c>
      <c r="F112" s="54" t="s">
        <v>118</v>
      </c>
    </row>
    <row r="113" spans="1:6" ht="18.75" customHeight="1" x14ac:dyDescent="0.3">
      <c r="A113" s="57" t="s">
        <v>912</v>
      </c>
      <c r="B113" s="57" t="s">
        <v>196</v>
      </c>
      <c r="C113" s="57" t="s">
        <v>998</v>
      </c>
      <c r="D113" s="57" t="s">
        <v>9</v>
      </c>
      <c r="E113" s="57">
        <v>3</v>
      </c>
      <c r="F113" s="54" t="s">
        <v>118</v>
      </c>
    </row>
    <row r="114" spans="1:6" ht="31.5" customHeight="1" x14ac:dyDescent="0.3">
      <c r="A114" s="57" t="s">
        <v>912</v>
      </c>
      <c r="B114" s="57" t="s">
        <v>200</v>
      </c>
      <c r="C114" s="57" t="s">
        <v>999</v>
      </c>
      <c r="D114" s="57" t="s">
        <v>9</v>
      </c>
      <c r="E114" s="57">
        <v>2</v>
      </c>
      <c r="F114" s="54" t="s">
        <v>118</v>
      </c>
    </row>
    <row r="116" spans="1:6" x14ac:dyDescent="0.3">
      <c r="A116" s="56" t="s">
        <v>671</v>
      </c>
    </row>
    <row r="117" spans="1:6" x14ac:dyDescent="0.3">
      <c r="A117" s="43" t="s">
        <v>174</v>
      </c>
      <c r="B117" s="59"/>
      <c r="C117" s="44" t="s">
        <v>387</v>
      </c>
      <c r="D117" s="44" t="s">
        <v>388</v>
      </c>
      <c r="E117" s="59"/>
      <c r="F117" s="44" t="s">
        <v>389</v>
      </c>
    </row>
    <row r="118" spans="1:6" ht="18.75" customHeight="1" x14ac:dyDescent="0.3">
      <c r="A118" s="57" t="s">
        <v>754</v>
      </c>
      <c r="B118" s="57"/>
      <c r="C118" s="57" t="s">
        <v>1000</v>
      </c>
      <c r="D118" s="57" t="s">
        <v>6</v>
      </c>
      <c r="E118" s="57"/>
      <c r="F118" s="57" t="s">
        <v>18</v>
      </c>
    </row>
    <row r="119" spans="1:6" ht="18.75" customHeight="1" x14ac:dyDescent="0.3">
      <c r="A119" s="57" t="s">
        <v>867</v>
      </c>
      <c r="B119" s="57"/>
      <c r="C119" s="57" t="s">
        <v>1001</v>
      </c>
      <c r="D119" s="57" t="s">
        <v>6</v>
      </c>
      <c r="E119" s="57"/>
      <c r="F119" s="57" t="s">
        <v>18</v>
      </c>
    </row>
    <row r="120" spans="1:6" ht="18.75" customHeight="1" x14ac:dyDescent="0.3">
      <c r="A120" s="57" t="s">
        <v>761</v>
      </c>
      <c r="B120" s="57"/>
      <c r="C120" s="57" t="s">
        <v>1002</v>
      </c>
      <c r="D120" s="57" t="s">
        <v>6</v>
      </c>
      <c r="E120" s="57"/>
      <c r="F120" s="57" t="s">
        <v>18</v>
      </c>
    </row>
    <row r="121" spans="1:6" ht="18.75" customHeight="1" x14ac:dyDescent="0.3">
      <c r="A121" s="57" t="s">
        <v>872</v>
      </c>
      <c r="B121" s="57"/>
      <c r="C121" s="57" t="s">
        <v>1003</v>
      </c>
      <c r="D121" s="57" t="s">
        <v>6</v>
      </c>
      <c r="E121" s="57"/>
      <c r="F121" s="57" t="s">
        <v>18</v>
      </c>
    </row>
    <row r="122" spans="1:6" ht="18.75" customHeight="1" x14ac:dyDescent="0.3">
      <c r="A122" s="57" t="s">
        <v>875</v>
      </c>
      <c r="B122" s="57"/>
      <c r="C122" s="57" t="s">
        <v>1004</v>
      </c>
      <c r="D122" s="57" t="s">
        <v>6</v>
      </c>
      <c r="E122" s="57"/>
      <c r="F122" s="57" t="s">
        <v>18</v>
      </c>
    </row>
    <row r="123" spans="1:6" ht="18.75" customHeight="1" x14ac:dyDescent="0.3">
      <c r="A123" s="57" t="s">
        <v>878</v>
      </c>
      <c r="B123" s="57"/>
      <c r="C123" s="57" t="s">
        <v>1005</v>
      </c>
      <c r="D123" s="57" t="s">
        <v>6</v>
      </c>
      <c r="E123" s="57"/>
      <c r="F123" s="57" t="s">
        <v>18</v>
      </c>
    </row>
    <row r="124" spans="1:6" ht="18.75" customHeight="1" x14ac:dyDescent="0.3">
      <c r="A124" s="57" t="s">
        <v>881</v>
      </c>
      <c r="B124" s="57"/>
      <c r="C124" s="57" t="s">
        <v>1006</v>
      </c>
      <c r="D124" s="57" t="s">
        <v>6</v>
      </c>
      <c r="E124" s="57"/>
      <c r="F124" s="57" t="s">
        <v>18</v>
      </c>
    </row>
    <row r="125" spans="1:6" ht="31.5" customHeight="1" x14ac:dyDescent="0.3">
      <c r="A125" s="57" t="s">
        <v>778</v>
      </c>
      <c r="B125" s="57"/>
      <c r="C125" s="57" t="s">
        <v>1007</v>
      </c>
      <c r="D125" s="57" t="s">
        <v>6</v>
      </c>
      <c r="E125" s="57"/>
      <c r="F125" s="57" t="s">
        <v>18</v>
      </c>
    </row>
    <row r="126" spans="1:6" ht="31.5" customHeight="1" x14ac:dyDescent="0.3">
      <c r="A126" s="57" t="s">
        <v>786</v>
      </c>
      <c r="B126" s="57"/>
      <c r="C126" s="57" t="s">
        <v>1008</v>
      </c>
      <c r="D126" s="57" t="s">
        <v>6</v>
      </c>
      <c r="E126" s="57"/>
      <c r="F126" s="57" t="s">
        <v>18</v>
      </c>
    </row>
    <row r="127" spans="1:6" ht="18.75" customHeight="1" x14ac:dyDescent="0.3">
      <c r="A127" s="57" t="s">
        <v>888</v>
      </c>
      <c r="B127" s="57"/>
      <c r="C127" s="57" t="s">
        <v>1009</v>
      </c>
      <c r="D127" s="57" t="s">
        <v>6</v>
      </c>
      <c r="E127" s="57"/>
      <c r="F127" s="57" t="s">
        <v>18</v>
      </c>
    </row>
    <row r="128" spans="1:6" ht="31.5" customHeight="1" x14ac:dyDescent="0.3">
      <c r="A128" s="57" t="s">
        <v>891</v>
      </c>
      <c r="B128" s="57"/>
      <c r="C128" s="57" t="s">
        <v>1010</v>
      </c>
      <c r="D128" s="57" t="s">
        <v>12</v>
      </c>
      <c r="E128" s="57"/>
      <c r="F128" s="57" t="s">
        <v>6</v>
      </c>
    </row>
    <row r="129" spans="1:6" ht="18.75" customHeight="1" x14ac:dyDescent="0.3">
      <c r="A129" s="57" t="s">
        <v>894</v>
      </c>
      <c r="B129" s="57"/>
      <c r="C129" s="57" t="s">
        <v>1011</v>
      </c>
      <c r="D129" s="57" t="s">
        <v>12</v>
      </c>
      <c r="E129" s="57"/>
      <c r="F129" s="57" t="s">
        <v>6</v>
      </c>
    </row>
    <row r="130" spans="1:6" ht="18.75" customHeight="1" x14ac:dyDescent="0.3">
      <c r="A130" s="57" t="s">
        <v>897</v>
      </c>
      <c r="B130" s="57"/>
      <c r="C130" s="57" t="s">
        <v>1012</v>
      </c>
      <c r="D130" s="57" t="s">
        <v>18</v>
      </c>
      <c r="E130" s="57"/>
      <c r="F130" s="57" t="s">
        <v>12</v>
      </c>
    </row>
    <row r="131" spans="1:6" ht="18.75" customHeight="1" x14ac:dyDescent="0.3">
      <c r="A131" s="57" t="s">
        <v>900</v>
      </c>
      <c r="B131" s="57"/>
      <c r="C131" s="57" t="s">
        <v>1013</v>
      </c>
      <c r="D131" s="57" t="s">
        <v>18</v>
      </c>
      <c r="E131" s="57"/>
      <c r="F131" s="57" t="s">
        <v>12</v>
      </c>
    </row>
    <row r="132" spans="1:6" ht="18.75" customHeight="1" x14ac:dyDescent="0.3">
      <c r="A132" s="57" t="s">
        <v>903</v>
      </c>
      <c r="B132" s="57"/>
      <c r="C132" s="57" t="s">
        <v>1014</v>
      </c>
      <c r="D132" s="57" t="s">
        <v>15</v>
      </c>
      <c r="E132" s="57"/>
      <c r="F132" s="57" t="s">
        <v>9</v>
      </c>
    </row>
    <row r="133" spans="1:6" ht="18.75" customHeight="1" x14ac:dyDescent="0.3">
      <c r="A133" s="57" t="s">
        <v>906</v>
      </c>
      <c r="B133" s="57"/>
      <c r="C133" s="57" t="s">
        <v>1015</v>
      </c>
      <c r="D133" s="57" t="s">
        <v>15</v>
      </c>
      <c r="E133" s="57"/>
      <c r="F133" s="57" t="s">
        <v>9</v>
      </c>
    </row>
    <row r="134" spans="1:6" ht="31.5" customHeight="1" x14ac:dyDescent="0.3">
      <c r="A134" s="57" t="s">
        <v>909</v>
      </c>
      <c r="B134" s="57"/>
      <c r="C134" s="57" t="s">
        <v>1016</v>
      </c>
      <c r="D134" s="57" t="s">
        <v>9</v>
      </c>
      <c r="E134" s="57"/>
      <c r="F134" s="57" t="s">
        <v>15</v>
      </c>
    </row>
    <row r="135" spans="1:6" ht="18.75" customHeight="1" x14ac:dyDescent="0.3">
      <c r="A135" s="57" t="s">
        <v>912</v>
      </c>
      <c r="B135" s="57"/>
      <c r="C135" s="57" t="s">
        <v>1017</v>
      </c>
      <c r="D135" s="57" t="s">
        <v>9</v>
      </c>
      <c r="E135" s="57"/>
      <c r="F135" s="57" t="s">
        <v>15</v>
      </c>
    </row>
    <row r="137" spans="1:6" x14ac:dyDescent="0.3">
      <c r="A137" s="56" t="s">
        <v>399</v>
      </c>
    </row>
    <row r="138" spans="1:6" ht="26.4" x14ac:dyDescent="0.3">
      <c r="A138" s="43" t="s">
        <v>174</v>
      </c>
      <c r="B138" s="44" t="s">
        <v>224</v>
      </c>
      <c r="C138" s="44" t="s">
        <v>225</v>
      </c>
      <c r="D138" s="44" t="s">
        <v>400</v>
      </c>
      <c r="E138" s="44" t="s">
        <v>191</v>
      </c>
      <c r="F138" s="44" t="s">
        <v>226</v>
      </c>
    </row>
    <row r="139" spans="1:6" ht="44.25" customHeight="1" x14ac:dyDescent="0.3">
      <c r="A139" s="57" t="s">
        <v>754</v>
      </c>
      <c r="B139" s="60" t="s">
        <v>1018</v>
      </c>
      <c r="C139" s="57" t="s">
        <v>1019</v>
      </c>
      <c r="D139" s="57" t="s">
        <v>18</v>
      </c>
      <c r="E139" s="57">
        <v>1.5</v>
      </c>
      <c r="F139" s="55" t="s">
        <v>683</v>
      </c>
    </row>
    <row r="140" spans="1:6" ht="44.25" customHeight="1" x14ac:dyDescent="0.3">
      <c r="A140" s="57" t="s">
        <v>754</v>
      </c>
      <c r="B140" s="60" t="s">
        <v>1020</v>
      </c>
      <c r="C140" s="57" t="s">
        <v>1021</v>
      </c>
      <c r="D140" s="57" t="s">
        <v>18</v>
      </c>
      <c r="E140" s="57">
        <v>1.5</v>
      </c>
      <c r="F140" s="55" t="s">
        <v>683</v>
      </c>
    </row>
    <row r="141" spans="1:6" ht="44.25" customHeight="1" x14ac:dyDescent="0.3">
      <c r="A141" s="57" t="s">
        <v>867</v>
      </c>
      <c r="B141" s="60" t="s">
        <v>1022</v>
      </c>
      <c r="C141" s="57" t="s">
        <v>1023</v>
      </c>
      <c r="D141" s="57" t="s">
        <v>18</v>
      </c>
      <c r="E141" s="57">
        <v>1.5</v>
      </c>
      <c r="F141" s="55" t="s">
        <v>683</v>
      </c>
    </row>
    <row r="142" spans="1:6" ht="44.25" customHeight="1" x14ac:dyDescent="0.3">
      <c r="A142" s="57" t="s">
        <v>867</v>
      </c>
      <c r="B142" s="60" t="s">
        <v>1024</v>
      </c>
      <c r="C142" s="57" t="s">
        <v>1025</v>
      </c>
      <c r="D142" s="57" t="s">
        <v>18</v>
      </c>
      <c r="E142" s="57">
        <v>1.5</v>
      </c>
      <c r="F142" s="55" t="s">
        <v>683</v>
      </c>
    </row>
    <row r="143" spans="1:6" ht="31.5" customHeight="1" x14ac:dyDescent="0.3">
      <c r="A143" s="57" t="s">
        <v>867</v>
      </c>
      <c r="B143" s="60" t="s">
        <v>1026</v>
      </c>
      <c r="C143" s="57" t="s">
        <v>1027</v>
      </c>
      <c r="D143" s="57" t="s">
        <v>18</v>
      </c>
      <c r="E143" s="57">
        <v>1.5</v>
      </c>
      <c r="F143" s="55" t="s">
        <v>683</v>
      </c>
    </row>
    <row r="144" spans="1:6" ht="31.5" customHeight="1" x14ac:dyDescent="0.3">
      <c r="A144" s="57" t="s">
        <v>761</v>
      </c>
      <c r="B144" s="60" t="s">
        <v>1028</v>
      </c>
      <c r="C144" s="57" t="s">
        <v>1029</v>
      </c>
      <c r="D144" s="57" t="s">
        <v>18</v>
      </c>
      <c r="E144" s="57">
        <v>1.5</v>
      </c>
      <c r="F144" s="55" t="s">
        <v>683</v>
      </c>
    </row>
    <row r="145" spans="1:6" ht="44.25" customHeight="1" x14ac:dyDescent="0.3">
      <c r="A145" s="57" t="s">
        <v>761</v>
      </c>
      <c r="B145" s="60" t="s">
        <v>1030</v>
      </c>
      <c r="C145" s="57" t="s">
        <v>1031</v>
      </c>
      <c r="D145" s="57" t="s">
        <v>18</v>
      </c>
      <c r="E145" s="57">
        <v>1.5</v>
      </c>
      <c r="F145" s="55" t="s">
        <v>683</v>
      </c>
    </row>
    <row r="146" spans="1:6" ht="44.25" customHeight="1" x14ac:dyDescent="0.3">
      <c r="A146" s="57" t="s">
        <v>872</v>
      </c>
      <c r="B146" s="60" t="s">
        <v>1032</v>
      </c>
      <c r="C146" s="57" t="s">
        <v>1033</v>
      </c>
      <c r="D146" s="57" t="s">
        <v>18</v>
      </c>
      <c r="E146" s="57">
        <v>1.5</v>
      </c>
      <c r="F146" s="55" t="s">
        <v>683</v>
      </c>
    </row>
    <row r="147" spans="1:6" ht="31.5" customHeight="1" x14ac:dyDescent="0.3">
      <c r="A147" s="57" t="s">
        <v>872</v>
      </c>
      <c r="B147" s="60" t="s">
        <v>1034</v>
      </c>
      <c r="C147" s="57" t="s">
        <v>1035</v>
      </c>
      <c r="D147" s="57" t="s">
        <v>18</v>
      </c>
      <c r="E147" s="57">
        <v>1.5</v>
      </c>
      <c r="F147" s="55" t="s">
        <v>683</v>
      </c>
    </row>
    <row r="148" spans="1:6" ht="44.25" customHeight="1" x14ac:dyDescent="0.3">
      <c r="A148" s="57" t="s">
        <v>875</v>
      </c>
      <c r="B148" s="60" t="s">
        <v>1036</v>
      </c>
      <c r="C148" s="57" t="s">
        <v>1037</v>
      </c>
      <c r="D148" s="57" t="s">
        <v>18</v>
      </c>
      <c r="E148" s="57">
        <v>1.5</v>
      </c>
      <c r="F148" s="55" t="s">
        <v>683</v>
      </c>
    </row>
    <row r="149" spans="1:6" ht="57" customHeight="1" x14ac:dyDescent="0.3">
      <c r="A149" s="57" t="s">
        <v>875</v>
      </c>
      <c r="B149" s="60" t="s">
        <v>1038</v>
      </c>
      <c r="C149" s="57" t="s">
        <v>1039</v>
      </c>
      <c r="D149" s="57" t="s">
        <v>18</v>
      </c>
      <c r="E149" s="57">
        <v>1.5</v>
      </c>
      <c r="F149" s="55" t="s">
        <v>683</v>
      </c>
    </row>
    <row r="150" spans="1:6" ht="31.5" customHeight="1" x14ac:dyDescent="0.3">
      <c r="A150" s="57" t="s">
        <v>875</v>
      </c>
      <c r="B150" s="60" t="s">
        <v>1040</v>
      </c>
      <c r="C150" s="57" t="s">
        <v>1041</v>
      </c>
      <c r="D150" s="57" t="s">
        <v>18</v>
      </c>
      <c r="E150" s="57">
        <v>1.5</v>
      </c>
      <c r="F150" s="55" t="s">
        <v>683</v>
      </c>
    </row>
    <row r="151" spans="1:6" ht="44.25" customHeight="1" x14ac:dyDescent="0.3">
      <c r="A151" s="57" t="s">
        <v>878</v>
      </c>
      <c r="B151" s="60" t="s">
        <v>1042</v>
      </c>
      <c r="C151" s="57" t="s">
        <v>1043</v>
      </c>
      <c r="D151" s="57" t="s">
        <v>18</v>
      </c>
      <c r="E151" s="57">
        <v>1.5</v>
      </c>
      <c r="F151" s="55" t="s">
        <v>683</v>
      </c>
    </row>
    <row r="152" spans="1:6" ht="44.25" customHeight="1" x14ac:dyDescent="0.3">
      <c r="A152" s="57" t="s">
        <v>878</v>
      </c>
      <c r="B152" s="60" t="s">
        <v>1044</v>
      </c>
      <c r="C152" s="57" t="s">
        <v>1045</v>
      </c>
      <c r="D152" s="57" t="s">
        <v>18</v>
      </c>
      <c r="E152" s="57">
        <v>1.5</v>
      </c>
      <c r="F152" s="55" t="s">
        <v>683</v>
      </c>
    </row>
    <row r="153" spans="1:6" ht="44.25" customHeight="1" x14ac:dyDescent="0.3">
      <c r="A153" s="57" t="s">
        <v>881</v>
      </c>
      <c r="B153" s="60" t="s">
        <v>1046</v>
      </c>
      <c r="C153" s="57" t="s">
        <v>1047</v>
      </c>
      <c r="D153" s="57" t="s">
        <v>18</v>
      </c>
      <c r="E153" s="57">
        <v>1.5</v>
      </c>
      <c r="F153" s="55" t="s">
        <v>683</v>
      </c>
    </row>
    <row r="154" spans="1:6" ht="44.25" customHeight="1" x14ac:dyDescent="0.3">
      <c r="A154" s="57" t="s">
        <v>881</v>
      </c>
      <c r="B154" s="60" t="s">
        <v>1048</v>
      </c>
      <c r="C154" s="57" t="s">
        <v>1049</v>
      </c>
      <c r="D154" s="57" t="s">
        <v>18</v>
      </c>
      <c r="E154" s="57">
        <v>1.5</v>
      </c>
      <c r="F154" s="55" t="s">
        <v>683</v>
      </c>
    </row>
    <row r="155" spans="1:6" ht="57" customHeight="1" x14ac:dyDescent="0.3">
      <c r="A155" s="57" t="s">
        <v>778</v>
      </c>
      <c r="B155" s="60" t="s">
        <v>1050</v>
      </c>
      <c r="C155" s="57" t="s">
        <v>1051</v>
      </c>
      <c r="D155" s="57" t="s">
        <v>18</v>
      </c>
      <c r="E155" s="57">
        <v>1.5</v>
      </c>
      <c r="F155" s="55" t="s">
        <v>683</v>
      </c>
    </row>
    <row r="156" spans="1:6" ht="57" customHeight="1" x14ac:dyDescent="0.3">
      <c r="A156" s="57" t="s">
        <v>778</v>
      </c>
      <c r="B156" s="60" t="s">
        <v>1052</v>
      </c>
      <c r="C156" s="57" t="s">
        <v>1053</v>
      </c>
      <c r="D156" s="57" t="s">
        <v>18</v>
      </c>
      <c r="E156" s="57">
        <v>1.5</v>
      </c>
      <c r="F156" s="55" t="s">
        <v>683</v>
      </c>
    </row>
    <row r="157" spans="1:6" ht="44.25" customHeight="1" x14ac:dyDescent="0.3">
      <c r="A157" s="57" t="s">
        <v>786</v>
      </c>
      <c r="B157" s="60" t="s">
        <v>1054</v>
      </c>
      <c r="C157" s="57" t="s">
        <v>1055</v>
      </c>
      <c r="D157" s="57" t="s">
        <v>18</v>
      </c>
      <c r="E157" s="57">
        <v>1.5</v>
      </c>
      <c r="F157" s="55" t="s">
        <v>683</v>
      </c>
    </row>
    <row r="158" spans="1:6" ht="44.25" customHeight="1" x14ac:dyDescent="0.3">
      <c r="A158" s="57" t="s">
        <v>786</v>
      </c>
      <c r="B158" s="60" t="s">
        <v>1056</v>
      </c>
      <c r="C158" s="57" t="s">
        <v>1057</v>
      </c>
      <c r="D158" s="57" t="s">
        <v>18</v>
      </c>
      <c r="E158" s="57">
        <v>1.5</v>
      </c>
      <c r="F158" s="55" t="s">
        <v>683</v>
      </c>
    </row>
    <row r="159" spans="1:6" ht="44.25" customHeight="1" x14ac:dyDescent="0.3">
      <c r="A159" s="57" t="s">
        <v>888</v>
      </c>
      <c r="B159" s="60" t="s">
        <v>1058</v>
      </c>
      <c r="C159" s="57" t="s">
        <v>1059</v>
      </c>
      <c r="D159" s="57" t="s">
        <v>18</v>
      </c>
      <c r="E159" s="57">
        <v>1.5</v>
      </c>
      <c r="F159" s="55" t="s">
        <v>683</v>
      </c>
    </row>
    <row r="160" spans="1:6" ht="57" customHeight="1" x14ac:dyDescent="0.3">
      <c r="A160" s="57" t="s">
        <v>888</v>
      </c>
      <c r="B160" s="60" t="s">
        <v>1060</v>
      </c>
      <c r="C160" s="57" t="s">
        <v>1061</v>
      </c>
      <c r="D160" s="57" t="s">
        <v>18</v>
      </c>
      <c r="E160" s="57">
        <v>1.5</v>
      </c>
      <c r="F160" s="55" t="s">
        <v>683</v>
      </c>
    </row>
    <row r="161" spans="1:6" ht="44.25" customHeight="1" x14ac:dyDescent="0.3">
      <c r="A161" s="57" t="s">
        <v>891</v>
      </c>
      <c r="B161" s="60" t="s">
        <v>1062</v>
      </c>
      <c r="C161" s="57" t="s">
        <v>1063</v>
      </c>
      <c r="D161" s="57" t="s">
        <v>6</v>
      </c>
      <c r="E161" s="57">
        <v>1.5</v>
      </c>
      <c r="F161" s="55" t="s">
        <v>683</v>
      </c>
    </row>
    <row r="162" spans="1:6" ht="44.25" customHeight="1" x14ac:dyDescent="0.3">
      <c r="A162" s="57" t="s">
        <v>891</v>
      </c>
      <c r="B162" s="60" t="s">
        <v>1064</v>
      </c>
      <c r="C162" s="57" t="s">
        <v>1065</v>
      </c>
      <c r="D162" s="57" t="s">
        <v>6</v>
      </c>
      <c r="E162" s="57">
        <v>1.5</v>
      </c>
      <c r="F162" s="55" t="s">
        <v>683</v>
      </c>
    </row>
    <row r="163" spans="1:6" ht="31.5" customHeight="1" x14ac:dyDescent="0.3">
      <c r="A163" s="57" t="s">
        <v>891</v>
      </c>
      <c r="B163" s="60" t="s">
        <v>1066</v>
      </c>
      <c r="C163" s="57" t="s">
        <v>1067</v>
      </c>
      <c r="D163" s="57" t="s">
        <v>6</v>
      </c>
      <c r="E163" s="57">
        <v>1.5</v>
      </c>
      <c r="F163" s="55" t="s">
        <v>683</v>
      </c>
    </row>
    <row r="164" spans="1:6" ht="44.25" customHeight="1" x14ac:dyDescent="0.3">
      <c r="A164" s="57" t="s">
        <v>894</v>
      </c>
      <c r="B164" s="60" t="s">
        <v>1068</v>
      </c>
      <c r="C164" s="57" t="s">
        <v>1069</v>
      </c>
      <c r="D164" s="57" t="s">
        <v>6</v>
      </c>
      <c r="E164" s="57">
        <v>1.5</v>
      </c>
      <c r="F164" s="55" t="s">
        <v>683</v>
      </c>
    </row>
    <row r="165" spans="1:6" ht="44.25" customHeight="1" x14ac:dyDescent="0.3">
      <c r="A165" s="57" t="s">
        <v>894</v>
      </c>
      <c r="B165" s="60" t="s">
        <v>1070</v>
      </c>
      <c r="C165" s="57" t="s">
        <v>1071</v>
      </c>
      <c r="D165" s="57" t="s">
        <v>6</v>
      </c>
      <c r="E165" s="57">
        <v>1.5</v>
      </c>
      <c r="F165" s="55" t="s">
        <v>683</v>
      </c>
    </row>
    <row r="166" spans="1:6" ht="44.25" customHeight="1" x14ac:dyDescent="0.3">
      <c r="A166" s="57" t="s">
        <v>894</v>
      </c>
      <c r="B166" s="60" t="s">
        <v>1072</v>
      </c>
      <c r="C166" s="57" t="s">
        <v>1073</v>
      </c>
      <c r="D166" s="57" t="s">
        <v>6</v>
      </c>
      <c r="E166" s="57">
        <v>1.5</v>
      </c>
      <c r="F166" s="55" t="s">
        <v>683</v>
      </c>
    </row>
    <row r="167" spans="1:6" ht="44.25" customHeight="1" x14ac:dyDescent="0.3">
      <c r="A167" s="57" t="s">
        <v>897</v>
      </c>
      <c r="B167" s="60" t="s">
        <v>1074</v>
      </c>
      <c r="C167" s="57" t="s">
        <v>1075</v>
      </c>
      <c r="D167" s="57" t="s">
        <v>12</v>
      </c>
      <c r="E167" s="57">
        <v>1.5</v>
      </c>
      <c r="F167" s="55" t="s">
        <v>683</v>
      </c>
    </row>
    <row r="168" spans="1:6" ht="31.5" customHeight="1" x14ac:dyDescent="0.3">
      <c r="A168" s="57" t="s">
        <v>897</v>
      </c>
      <c r="B168" s="60" t="s">
        <v>1076</v>
      </c>
      <c r="C168" s="57" t="s">
        <v>1077</v>
      </c>
      <c r="D168" s="57" t="s">
        <v>12</v>
      </c>
      <c r="E168" s="57">
        <v>1.5</v>
      </c>
      <c r="F168" s="55" t="s">
        <v>683</v>
      </c>
    </row>
    <row r="169" spans="1:6" ht="31.5" customHeight="1" x14ac:dyDescent="0.3">
      <c r="A169" s="57" t="s">
        <v>897</v>
      </c>
      <c r="B169" s="60" t="s">
        <v>1078</v>
      </c>
      <c r="C169" s="57" t="s">
        <v>1079</v>
      </c>
      <c r="D169" s="57" t="s">
        <v>12</v>
      </c>
      <c r="E169" s="57">
        <v>1.5</v>
      </c>
      <c r="F169" s="55" t="s">
        <v>683</v>
      </c>
    </row>
    <row r="170" spans="1:6" ht="44.25" customHeight="1" x14ac:dyDescent="0.3">
      <c r="A170" s="57" t="s">
        <v>900</v>
      </c>
      <c r="B170" s="60" t="s">
        <v>1080</v>
      </c>
      <c r="C170" s="57" t="s">
        <v>1081</v>
      </c>
      <c r="D170" s="57" t="s">
        <v>12</v>
      </c>
      <c r="E170" s="57">
        <v>1.5</v>
      </c>
      <c r="F170" s="55" t="s">
        <v>683</v>
      </c>
    </row>
    <row r="171" spans="1:6" ht="44.25" customHeight="1" x14ac:dyDescent="0.3">
      <c r="A171" s="57" t="s">
        <v>900</v>
      </c>
      <c r="B171" s="60" t="s">
        <v>1082</v>
      </c>
      <c r="C171" s="57" t="s">
        <v>1083</v>
      </c>
      <c r="D171" s="57" t="s">
        <v>12</v>
      </c>
      <c r="E171" s="57">
        <v>1.5</v>
      </c>
      <c r="F171" s="55" t="s">
        <v>683</v>
      </c>
    </row>
    <row r="172" spans="1:6" ht="44.25" customHeight="1" x14ac:dyDescent="0.3">
      <c r="A172" s="57" t="s">
        <v>903</v>
      </c>
      <c r="B172" s="60" t="s">
        <v>1084</v>
      </c>
      <c r="C172" s="57" t="s">
        <v>1085</v>
      </c>
      <c r="D172" s="57" t="s">
        <v>9</v>
      </c>
      <c r="E172" s="57">
        <v>1.5</v>
      </c>
      <c r="F172" s="55" t="s">
        <v>683</v>
      </c>
    </row>
    <row r="173" spans="1:6" ht="44.25" customHeight="1" x14ac:dyDescent="0.3">
      <c r="A173" s="57" t="s">
        <v>903</v>
      </c>
      <c r="B173" s="60" t="s">
        <v>1086</v>
      </c>
      <c r="C173" s="57" t="s">
        <v>1087</v>
      </c>
      <c r="D173" s="57" t="s">
        <v>9</v>
      </c>
      <c r="E173" s="57">
        <v>1.5</v>
      </c>
      <c r="F173" s="55" t="s">
        <v>683</v>
      </c>
    </row>
    <row r="174" spans="1:6" ht="44.25" customHeight="1" x14ac:dyDescent="0.3">
      <c r="A174" s="57" t="s">
        <v>906</v>
      </c>
      <c r="B174" s="60" t="s">
        <v>1088</v>
      </c>
      <c r="C174" s="57" t="s">
        <v>1089</v>
      </c>
      <c r="D174" s="57" t="s">
        <v>9</v>
      </c>
      <c r="E174" s="57">
        <v>1.5</v>
      </c>
      <c r="F174" s="55" t="s">
        <v>683</v>
      </c>
    </row>
    <row r="175" spans="1:6" ht="44.25" customHeight="1" x14ac:dyDescent="0.3">
      <c r="A175" s="57" t="s">
        <v>906</v>
      </c>
      <c r="B175" s="60" t="s">
        <v>1090</v>
      </c>
      <c r="C175" s="57" t="s">
        <v>1091</v>
      </c>
      <c r="D175" s="57" t="s">
        <v>9</v>
      </c>
      <c r="E175" s="57">
        <v>1.5</v>
      </c>
      <c r="F175" s="55" t="s">
        <v>683</v>
      </c>
    </row>
    <row r="176" spans="1:6" ht="44.25" customHeight="1" x14ac:dyDescent="0.3">
      <c r="A176" s="57" t="s">
        <v>909</v>
      </c>
      <c r="B176" s="60" t="s">
        <v>1092</v>
      </c>
      <c r="C176" s="57" t="s">
        <v>1093</v>
      </c>
      <c r="D176" s="57" t="s">
        <v>15</v>
      </c>
      <c r="E176" s="57">
        <v>1.5</v>
      </c>
      <c r="F176" s="55" t="s">
        <v>683</v>
      </c>
    </row>
    <row r="177" spans="1:6" ht="44.25" customHeight="1" x14ac:dyDescent="0.3">
      <c r="A177" s="57" t="s">
        <v>909</v>
      </c>
      <c r="B177" s="60" t="s">
        <v>1094</v>
      </c>
      <c r="C177" s="57" t="s">
        <v>1095</v>
      </c>
      <c r="D177" s="57" t="s">
        <v>15</v>
      </c>
      <c r="E177" s="57">
        <v>1.5</v>
      </c>
      <c r="F177" s="55" t="s">
        <v>683</v>
      </c>
    </row>
    <row r="178" spans="1:6" ht="44.25" customHeight="1" x14ac:dyDescent="0.3">
      <c r="A178" s="57" t="s">
        <v>909</v>
      </c>
      <c r="B178" s="60" t="s">
        <v>1096</v>
      </c>
      <c r="C178" s="57" t="s">
        <v>1097</v>
      </c>
      <c r="D178" s="57" t="s">
        <v>15</v>
      </c>
      <c r="E178" s="57">
        <v>1.5</v>
      </c>
      <c r="F178" s="55" t="s">
        <v>683</v>
      </c>
    </row>
    <row r="179" spans="1:6" ht="31.5" customHeight="1" x14ac:dyDescent="0.3">
      <c r="A179" s="57" t="s">
        <v>909</v>
      </c>
      <c r="B179" s="60" t="s">
        <v>1098</v>
      </c>
      <c r="C179" s="57" t="s">
        <v>1099</v>
      </c>
      <c r="D179" s="57" t="s">
        <v>15</v>
      </c>
      <c r="E179" s="57">
        <v>1.5</v>
      </c>
      <c r="F179" s="55" t="s">
        <v>683</v>
      </c>
    </row>
    <row r="180" spans="1:6" ht="31.5" customHeight="1" x14ac:dyDescent="0.3">
      <c r="A180" s="57" t="s">
        <v>912</v>
      </c>
      <c r="B180" s="60" t="s">
        <v>1100</v>
      </c>
      <c r="C180" s="57" t="s">
        <v>1101</v>
      </c>
      <c r="D180" s="57" t="s">
        <v>15</v>
      </c>
      <c r="E180" s="57">
        <v>1.5</v>
      </c>
      <c r="F180" s="55" t="s">
        <v>683</v>
      </c>
    </row>
    <row r="181" spans="1:6" ht="31.5" customHeight="1" x14ac:dyDescent="0.3">
      <c r="A181" s="57" t="s">
        <v>912</v>
      </c>
      <c r="B181" s="60" t="s">
        <v>1102</v>
      </c>
      <c r="C181" s="57" t="s">
        <v>1103</v>
      </c>
      <c r="D181" s="57" t="s">
        <v>15</v>
      </c>
      <c r="E181" s="57">
        <v>1.5</v>
      </c>
      <c r="F181" s="55" t="s">
        <v>683</v>
      </c>
    </row>
    <row r="183" spans="1:6" x14ac:dyDescent="0.3">
      <c r="A183" s="56" t="s">
        <v>720</v>
      </c>
    </row>
    <row r="184" spans="1:6" ht="15" customHeight="1" x14ac:dyDescent="0.3">
      <c r="A184" s="66" t="s">
        <v>190</v>
      </c>
      <c r="B184" s="66"/>
      <c r="C184" s="66"/>
      <c r="D184" s="44" t="s">
        <v>29</v>
      </c>
      <c r="E184" s="44" t="s">
        <v>191</v>
      </c>
      <c r="F184" s="44" t="s">
        <v>27</v>
      </c>
    </row>
    <row r="185" spans="1:6" ht="31.5" customHeight="1" x14ac:dyDescent="0.3">
      <c r="A185" s="1" t="s">
        <v>1104</v>
      </c>
      <c r="B185" s="1"/>
      <c r="C185" s="1"/>
      <c r="D185" s="57" t="s">
        <v>12</v>
      </c>
      <c r="E185" s="57">
        <v>2</v>
      </c>
      <c r="F185" s="54" t="s">
        <v>118</v>
      </c>
    </row>
    <row r="186" spans="1:6" ht="44.25" customHeight="1" x14ac:dyDescent="0.3">
      <c r="A186" s="1" t="s">
        <v>1105</v>
      </c>
      <c r="B186" s="1"/>
      <c r="C186" s="1"/>
      <c r="D186" s="57" t="s">
        <v>12</v>
      </c>
      <c r="E186" s="57">
        <v>4</v>
      </c>
      <c r="F186" s="54" t="s">
        <v>118</v>
      </c>
    </row>
    <row r="187" spans="1:6" ht="31.5" customHeight="1" x14ac:dyDescent="0.3">
      <c r="A187" s="1" t="s">
        <v>1106</v>
      </c>
      <c r="B187" s="1"/>
      <c r="C187" s="1"/>
      <c r="D187" s="57" t="s">
        <v>12</v>
      </c>
      <c r="E187" s="57">
        <v>2</v>
      </c>
      <c r="F187" s="54" t="s">
        <v>118</v>
      </c>
    </row>
    <row r="188" spans="1:6" ht="31.5" customHeight="1" x14ac:dyDescent="0.3">
      <c r="A188" s="1" t="s">
        <v>1107</v>
      </c>
      <c r="B188" s="1"/>
      <c r="C188" s="1"/>
      <c r="D188" s="57" t="s">
        <v>12</v>
      </c>
      <c r="E188" s="57">
        <v>1</v>
      </c>
      <c r="F188" s="54" t="s">
        <v>118</v>
      </c>
    </row>
    <row r="189" spans="1:6" ht="18.75" customHeight="1" x14ac:dyDescent="0.3">
      <c r="A189" s="1" t="s">
        <v>1108</v>
      </c>
      <c r="B189" s="1"/>
      <c r="C189" s="1"/>
      <c r="D189" s="57" t="s">
        <v>12</v>
      </c>
      <c r="E189" s="57">
        <v>2</v>
      </c>
      <c r="F189" s="54" t="s">
        <v>118</v>
      </c>
    </row>
    <row r="191" spans="1:6" x14ac:dyDescent="0.3">
      <c r="B191" s="61" t="s">
        <v>1109</v>
      </c>
      <c r="C191" s="61"/>
      <c r="D191" s="61"/>
      <c r="E191" s="61">
        <f>SUM(E7:E24)</f>
        <v>102</v>
      </c>
    </row>
    <row r="192" spans="1:6" x14ac:dyDescent="0.3">
      <c r="B192" s="61" t="s">
        <v>252</v>
      </c>
      <c r="C192" s="61"/>
      <c r="D192" s="61"/>
      <c r="E192" s="61">
        <f>SUM(E32:E114)</f>
        <v>232</v>
      </c>
    </row>
    <row r="193" spans="2:5" x14ac:dyDescent="0.3">
      <c r="B193" s="61" t="s">
        <v>253</v>
      </c>
      <c r="C193" s="61"/>
      <c r="D193" s="61"/>
      <c r="E193" s="61">
        <f>SUM(E139:E181)</f>
        <v>64.5</v>
      </c>
    </row>
    <row r="194" spans="2:5" x14ac:dyDescent="0.3">
      <c r="B194" s="61" t="s">
        <v>254</v>
      </c>
      <c r="C194" s="61"/>
      <c r="D194" s="61"/>
      <c r="E194" s="61">
        <f>SUM(E185:E189)</f>
        <v>11</v>
      </c>
    </row>
  </sheetData>
  <mergeCells count="28">
    <mergeCell ref="A187:C187"/>
    <mergeCell ref="A188:C188"/>
    <mergeCell ref="A189:C189"/>
    <mergeCell ref="B23:C23"/>
    <mergeCell ref="B24:C24"/>
    <mergeCell ref="A184:C184"/>
    <mergeCell ref="A185:C185"/>
    <mergeCell ref="A186:C186"/>
    <mergeCell ref="B18:C18"/>
    <mergeCell ref="B19:C19"/>
    <mergeCell ref="B20:C20"/>
    <mergeCell ref="B21:C21"/>
    <mergeCell ref="B22:C22"/>
    <mergeCell ref="B13:C13"/>
    <mergeCell ref="B14:C14"/>
    <mergeCell ref="B15:C15"/>
    <mergeCell ref="B16:C16"/>
    <mergeCell ref="B17:C17"/>
    <mergeCell ref="B8:C8"/>
    <mergeCell ref="B9:C9"/>
    <mergeCell ref="B10:C10"/>
    <mergeCell ref="B11:C11"/>
    <mergeCell ref="B12:C12"/>
    <mergeCell ref="A1:F1"/>
    <mergeCell ref="A2:F2"/>
    <mergeCell ref="A3:F3"/>
    <mergeCell ref="B6:C6"/>
    <mergeCell ref="B7:C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3"/>
  <sheetViews>
    <sheetView zoomScaleNormal="100" workbookViewId="0">
      <pane xSplit="2" ySplit="12" topLeftCell="C13" activePane="bottomRight" state="frozen"/>
      <selection pane="topRight" activeCell="C1" sqref="C1"/>
      <selection pane="bottomLeft" activeCell="A13" sqref="A13"/>
      <selection pane="bottomRight" sqref="A1:L1"/>
    </sheetView>
  </sheetViews>
  <sheetFormatPr defaultColWidth="8.6640625" defaultRowHeight="14.4" x14ac:dyDescent="0.3"/>
  <cols>
    <col min="1" max="1" width="8" customWidth="1"/>
    <col min="2" max="2" width="9" customWidth="1"/>
    <col min="3" max="3" width="15" customWidth="1"/>
    <col min="4" max="4" width="17" customWidth="1"/>
    <col min="5" max="5" width="44" customWidth="1"/>
    <col min="6" max="6" width="48" customWidth="1"/>
    <col min="7" max="7" width="58" customWidth="1"/>
    <col min="8" max="8" width="10" customWidth="1"/>
    <col min="9" max="9" width="8" customWidth="1"/>
    <col min="10" max="10" width="12" customWidth="1"/>
    <col min="11" max="11" width="16" customWidth="1"/>
    <col min="12" max="12" width="10" customWidth="1"/>
  </cols>
  <sheetData>
    <row r="1" spans="1:12" ht="17.399999999999999" x14ac:dyDescent="0.3">
      <c r="A1" s="6" t="s">
        <v>1110</v>
      </c>
      <c r="B1" s="6"/>
      <c r="C1" s="6"/>
      <c r="D1" s="6"/>
      <c r="E1" s="6"/>
      <c r="F1" s="6"/>
      <c r="G1" s="6"/>
      <c r="H1" s="6"/>
      <c r="I1" s="6"/>
      <c r="J1" s="6"/>
      <c r="K1" s="6"/>
      <c r="L1" s="6"/>
    </row>
    <row r="2" spans="1:12" x14ac:dyDescent="0.3">
      <c r="A2" s="5" t="s">
        <v>1111</v>
      </c>
      <c r="B2" s="5"/>
      <c r="C2" s="5"/>
      <c r="D2" s="5"/>
      <c r="E2" s="5"/>
      <c r="F2" s="5"/>
      <c r="G2" s="5"/>
      <c r="H2" s="5"/>
      <c r="I2" s="5"/>
      <c r="J2" s="5"/>
      <c r="K2" s="5"/>
      <c r="L2" s="5"/>
    </row>
    <row r="4" spans="1:12" x14ac:dyDescent="0.3">
      <c r="A4" s="56" t="s">
        <v>1112</v>
      </c>
    </row>
    <row r="5" spans="1:12" ht="15" customHeight="1" x14ac:dyDescent="0.3">
      <c r="A5" s="2" t="s">
        <v>1113</v>
      </c>
      <c r="B5" s="2"/>
      <c r="C5" s="2"/>
      <c r="D5" s="2"/>
      <c r="E5" s="62">
        <f>COUNTA(A13:A35)</f>
        <v>23</v>
      </c>
    </row>
    <row r="6" spans="1:12" ht="15" customHeight="1" x14ac:dyDescent="0.3">
      <c r="A6" s="2" t="s">
        <v>1114</v>
      </c>
      <c r="B6" s="2"/>
      <c r="C6" s="2"/>
      <c r="D6" s="2"/>
      <c r="E6" s="62">
        <f>COUNTA(A36:A43)</f>
        <v>8</v>
      </c>
    </row>
    <row r="7" spans="1:12" ht="15" customHeight="1" x14ac:dyDescent="0.3">
      <c r="A7" s="2" t="s">
        <v>1115</v>
      </c>
      <c r="B7" s="2"/>
      <c r="C7" s="2"/>
      <c r="D7" s="2"/>
      <c r="E7" s="62">
        <f>COUNTIF(L13:L43,"Open")</f>
        <v>31</v>
      </c>
    </row>
    <row r="8" spans="1:12" ht="15" customHeight="1" x14ac:dyDescent="0.3">
      <c r="A8" s="2" t="s">
        <v>1116</v>
      </c>
      <c r="B8" s="2"/>
      <c r="C8" s="2"/>
      <c r="D8" s="2"/>
      <c r="E8" s="62">
        <f>COUNTIF(L13:L43,"Fixed")</f>
        <v>0</v>
      </c>
    </row>
    <row r="9" spans="1:12" ht="15" customHeight="1" x14ac:dyDescent="0.3">
      <c r="A9" s="2" t="s">
        <v>1117</v>
      </c>
      <c r="B9" s="2"/>
      <c r="C9" s="2"/>
      <c r="D9" s="2"/>
      <c r="E9" s="62">
        <f>COUNTIF(H13:H43,"High")</f>
        <v>15</v>
      </c>
    </row>
    <row r="10" spans="1:12" ht="15" customHeight="1" x14ac:dyDescent="0.3">
      <c r="A10" s="2" t="s">
        <v>1118</v>
      </c>
      <c r="B10" s="2"/>
      <c r="C10" s="2"/>
      <c r="D10" s="2"/>
      <c r="E10" s="62">
        <f>COUNTIF(D13:D43,"Bug*")</f>
        <v>3</v>
      </c>
    </row>
    <row r="11" spans="1:12" x14ac:dyDescent="0.3">
      <c r="A11" s="63" t="s">
        <v>1119</v>
      </c>
    </row>
    <row r="12" spans="1:12" ht="26.4" x14ac:dyDescent="0.3">
      <c r="A12" s="44" t="s">
        <v>1120</v>
      </c>
      <c r="B12" s="44" t="s">
        <v>1121</v>
      </c>
      <c r="C12" s="44" t="s">
        <v>1122</v>
      </c>
      <c r="D12" s="44" t="s">
        <v>1123</v>
      </c>
      <c r="E12" s="44" t="s">
        <v>1124</v>
      </c>
      <c r="F12" s="44" t="s">
        <v>1125</v>
      </c>
      <c r="G12" s="44" t="s">
        <v>1126</v>
      </c>
      <c r="H12" s="44" t="s">
        <v>25</v>
      </c>
      <c r="I12" s="44" t="s">
        <v>1127</v>
      </c>
      <c r="J12" s="44" t="s">
        <v>1128</v>
      </c>
      <c r="K12" s="44" t="s">
        <v>1129</v>
      </c>
      <c r="L12" s="44" t="s">
        <v>27</v>
      </c>
    </row>
    <row r="13" spans="1:12" ht="69.75" customHeight="1" x14ac:dyDescent="0.3">
      <c r="A13" s="64" t="s">
        <v>1130</v>
      </c>
      <c r="B13" s="57">
        <v>1</v>
      </c>
      <c r="C13" s="57" t="s">
        <v>1131</v>
      </c>
      <c r="D13" s="57" t="s">
        <v>1132</v>
      </c>
      <c r="E13" s="57" t="s">
        <v>1133</v>
      </c>
      <c r="F13" s="57" t="s">
        <v>1134</v>
      </c>
      <c r="G13" s="57" t="s">
        <v>1135</v>
      </c>
      <c r="H13" s="65" t="s">
        <v>33</v>
      </c>
      <c r="I13" s="57" t="s">
        <v>1136</v>
      </c>
      <c r="J13" s="57" t="s">
        <v>1137</v>
      </c>
      <c r="K13" s="57" t="s">
        <v>897</v>
      </c>
      <c r="L13" s="54" t="s">
        <v>1115</v>
      </c>
    </row>
    <row r="14" spans="1:12" ht="44.25" customHeight="1" x14ac:dyDescent="0.3">
      <c r="A14" s="64" t="s">
        <v>1138</v>
      </c>
      <c r="B14" s="57">
        <v>2</v>
      </c>
      <c r="C14" s="57" t="s">
        <v>1131</v>
      </c>
      <c r="D14" s="57" t="s">
        <v>1139</v>
      </c>
      <c r="E14" s="57" t="s">
        <v>1140</v>
      </c>
      <c r="F14" s="57" t="s">
        <v>1141</v>
      </c>
      <c r="G14" s="57" t="s">
        <v>1142</v>
      </c>
      <c r="H14" s="54" t="s">
        <v>40</v>
      </c>
      <c r="I14" s="57" t="s">
        <v>1143</v>
      </c>
      <c r="J14" s="57" t="s">
        <v>1137</v>
      </c>
      <c r="K14" s="57" t="s">
        <v>897</v>
      </c>
      <c r="L14" s="54" t="s">
        <v>1115</v>
      </c>
    </row>
    <row r="15" spans="1:12" ht="57" customHeight="1" x14ac:dyDescent="0.3">
      <c r="A15" s="64" t="s">
        <v>1144</v>
      </c>
      <c r="B15" s="57">
        <v>3</v>
      </c>
      <c r="C15" s="57" t="s">
        <v>1131</v>
      </c>
      <c r="D15" s="57" t="s">
        <v>1145</v>
      </c>
      <c r="E15" s="57" t="s">
        <v>1146</v>
      </c>
      <c r="F15" s="57" t="s">
        <v>1147</v>
      </c>
      <c r="G15" s="57" t="s">
        <v>1148</v>
      </c>
      <c r="H15" s="54" t="s">
        <v>40</v>
      </c>
      <c r="I15" s="57" t="s">
        <v>1143</v>
      </c>
      <c r="J15" s="57" t="s">
        <v>1149</v>
      </c>
      <c r="K15" s="57" t="s">
        <v>875</v>
      </c>
      <c r="L15" s="54" t="s">
        <v>1115</v>
      </c>
    </row>
    <row r="16" spans="1:12" ht="69.75" customHeight="1" x14ac:dyDescent="0.3">
      <c r="A16" s="64" t="s">
        <v>1137</v>
      </c>
      <c r="B16" s="57">
        <v>4</v>
      </c>
      <c r="C16" s="57" t="s">
        <v>1150</v>
      </c>
      <c r="D16" s="57" t="s">
        <v>1132</v>
      </c>
      <c r="E16" s="57" t="s">
        <v>1151</v>
      </c>
      <c r="F16" s="57" t="s">
        <v>1152</v>
      </c>
      <c r="G16" s="57" t="s">
        <v>1153</v>
      </c>
      <c r="H16" s="65" t="s">
        <v>33</v>
      </c>
      <c r="I16" s="57" t="s">
        <v>1136</v>
      </c>
      <c r="J16" s="57" t="s">
        <v>1154</v>
      </c>
      <c r="K16" s="57" t="s">
        <v>1155</v>
      </c>
      <c r="L16" s="54" t="s">
        <v>1115</v>
      </c>
    </row>
    <row r="17" spans="1:12" ht="69.75" customHeight="1" x14ac:dyDescent="0.3">
      <c r="A17" s="64" t="s">
        <v>1154</v>
      </c>
      <c r="B17" s="57">
        <v>5</v>
      </c>
      <c r="C17" s="57" t="s">
        <v>1156</v>
      </c>
      <c r="D17" s="57" t="s">
        <v>1139</v>
      </c>
      <c r="E17" s="57" t="s">
        <v>1157</v>
      </c>
      <c r="F17" s="57" t="s">
        <v>1158</v>
      </c>
      <c r="G17" s="57" t="s">
        <v>1159</v>
      </c>
      <c r="H17" s="65" t="s">
        <v>33</v>
      </c>
      <c r="I17" s="57" t="s">
        <v>1160</v>
      </c>
      <c r="J17" s="57" t="s">
        <v>1161</v>
      </c>
      <c r="K17" s="57" t="s">
        <v>1162</v>
      </c>
      <c r="L17" s="54" t="s">
        <v>1115</v>
      </c>
    </row>
    <row r="18" spans="1:12" ht="44.25" customHeight="1" x14ac:dyDescent="0.3">
      <c r="A18" s="64" t="s">
        <v>1163</v>
      </c>
      <c r="B18" s="57">
        <v>6</v>
      </c>
      <c r="C18" s="57" t="s">
        <v>1156</v>
      </c>
      <c r="D18" s="57" t="s">
        <v>1132</v>
      </c>
      <c r="E18" s="57" t="s">
        <v>1164</v>
      </c>
      <c r="F18" s="57" t="s">
        <v>1165</v>
      </c>
      <c r="G18" s="57" t="s">
        <v>1166</v>
      </c>
      <c r="H18" s="65" t="s">
        <v>33</v>
      </c>
      <c r="I18" s="57" t="s">
        <v>1160</v>
      </c>
      <c r="J18" s="57" t="s">
        <v>1154</v>
      </c>
      <c r="K18" s="57" t="s">
        <v>1162</v>
      </c>
      <c r="L18" s="54" t="s">
        <v>1115</v>
      </c>
    </row>
    <row r="19" spans="1:12" ht="44.25" customHeight="1" x14ac:dyDescent="0.3">
      <c r="A19" s="64" t="s">
        <v>1167</v>
      </c>
      <c r="B19" s="57">
        <v>7</v>
      </c>
      <c r="C19" s="57" t="s">
        <v>1156</v>
      </c>
      <c r="D19" s="57" t="s">
        <v>1132</v>
      </c>
      <c r="E19" s="57" t="s">
        <v>1168</v>
      </c>
      <c r="F19" s="57" t="s">
        <v>1169</v>
      </c>
      <c r="G19" s="57" t="s">
        <v>1170</v>
      </c>
      <c r="H19" s="65" t="s">
        <v>33</v>
      </c>
      <c r="I19" s="57" t="s">
        <v>1143</v>
      </c>
      <c r="J19" s="57" t="s">
        <v>1154</v>
      </c>
      <c r="K19" s="57" t="s">
        <v>867</v>
      </c>
      <c r="L19" s="54" t="s">
        <v>1115</v>
      </c>
    </row>
    <row r="20" spans="1:12" ht="95.25" customHeight="1" x14ac:dyDescent="0.3">
      <c r="A20" s="64" t="s">
        <v>1161</v>
      </c>
      <c r="B20" s="57">
        <v>8</v>
      </c>
      <c r="C20" s="57" t="s">
        <v>1156</v>
      </c>
      <c r="D20" s="57" t="s">
        <v>1145</v>
      </c>
      <c r="E20" s="57" t="s">
        <v>1171</v>
      </c>
      <c r="F20" s="57" t="s">
        <v>1172</v>
      </c>
      <c r="G20" s="57" t="s">
        <v>1173</v>
      </c>
      <c r="H20" s="65" t="s">
        <v>33</v>
      </c>
      <c r="I20" s="57" t="s">
        <v>1143</v>
      </c>
      <c r="J20" s="57" t="s">
        <v>629</v>
      </c>
      <c r="K20" s="57" t="s">
        <v>754</v>
      </c>
      <c r="L20" s="54" t="s">
        <v>1115</v>
      </c>
    </row>
    <row r="21" spans="1:12" ht="69.75" customHeight="1" x14ac:dyDescent="0.3">
      <c r="A21" s="64" t="s">
        <v>1149</v>
      </c>
      <c r="B21" s="57">
        <v>9</v>
      </c>
      <c r="C21" s="57" t="s">
        <v>1150</v>
      </c>
      <c r="D21" s="57" t="s">
        <v>1132</v>
      </c>
      <c r="E21" s="57" t="s">
        <v>1174</v>
      </c>
      <c r="F21" s="57" t="s">
        <v>1175</v>
      </c>
      <c r="G21" s="57" t="s">
        <v>1176</v>
      </c>
      <c r="H21" s="65" t="s">
        <v>33</v>
      </c>
      <c r="I21" s="57" t="s">
        <v>1160</v>
      </c>
      <c r="J21" s="57" t="s">
        <v>1137</v>
      </c>
      <c r="K21" s="57" t="s">
        <v>1177</v>
      </c>
      <c r="L21" s="54" t="s">
        <v>1115</v>
      </c>
    </row>
    <row r="22" spans="1:12" ht="57" customHeight="1" x14ac:dyDescent="0.3">
      <c r="A22" s="64" t="s">
        <v>1178</v>
      </c>
      <c r="B22" s="57">
        <v>10</v>
      </c>
      <c r="C22" s="57" t="s">
        <v>1179</v>
      </c>
      <c r="D22" s="57" t="s">
        <v>1132</v>
      </c>
      <c r="E22" s="57" t="s">
        <v>1180</v>
      </c>
      <c r="F22" s="57" t="s">
        <v>1181</v>
      </c>
      <c r="G22" s="57" t="s">
        <v>1182</v>
      </c>
      <c r="H22" s="65" t="s">
        <v>33</v>
      </c>
      <c r="I22" s="57" t="s">
        <v>1160</v>
      </c>
      <c r="J22" s="57" t="s">
        <v>1154</v>
      </c>
      <c r="K22" s="57" t="s">
        <v>881</v>
      </c>
      <c r="L22" s="54" t="s">
        <v>1115</v>
      </c>
    </row>
    <row r="23" spans="1:12" ht="31.5" customHeight="1" x14ac:dyDescent="0.3">
      <c r="A23" s="64" t="s">
        <v>1183</v>
      </c>
      <c r="B23" s="57">
        <v>11</v>
      </c>
      <c r="C23" s="57" t="s">
        <v>1150</v>
      </c>
      <c r="D23" s="57" t="s">
        <v>1132</v>
      </c>
      <c r="E23" s="57" t="s">
        <v>1184</v>
      </c>
      <c r="F23" s="57" t="s">
        <v>1185</v>
      </c>
      <c r="G23" s="57" t="s">
        <v>1186</v>
      </c>
      <c r="H23" s="55" t="s">
        <v>1187</v>
      </c>
      <c r="I23" s="57" t="s">
        <v>1143</v>
      </c>
      <c r="J23" s="57" t="s">
        <v>1149</v>
      </c>
      <c r="K23" s="57" t="s">
        <v>1188</v>
      </c>
      <c r="L23" s="54" t="s">
        <v>1115</v>
      </c>
    </row>
    <row r="24" spans="1:12" ht="69.75" customHeight="1" x14ac:dyDescent="0.3">
      <c r="A24" s="64" t="s">
        <v>1189</v>
      </c>
      <c r="B24" s="57">
        <v>12</v>
      </c>
      <c r="C24" s="57" t="s">
        <v>1190</v>
      </c>
      <c r="D24" s="57" t="s">
        <v>1132</v>
      </c>
      <c r="E24" s="57" t="s">
        <v>1191</v>
      </c>
      <c r="F24" s="57" t="s">
        <v>1192</v>
      </c>
      <c r="G24" s="57" t="s">
        <v>1193</v>
      </c>
      <c r="H24" s="54" t="s">
        <v>40</v>
      </c>
      <c r="I24" s="57" t="s">
        <v>1160</v>
      </c>
      <c r="J24" s="57" t="s">
        <v>1194</v>
      </c>
      <c r="K24" s="57" t="s">
        <v>903</v>
      </c>
      <c r="L24" s="54" t="s">
        <v>1115</v>
      </c>
    </row>
    <row r="25" spans="1:12" ht="44.25" customHeight="1" x14ac:dyDescent="0.3">
      <c r="A25" s="64" t="s">
        <v>1195</v>
      </c>
      <c r="B25" s="57">
        <v>13</v>
      </c>
      <c r="C25" s="57" t="s">
        <v>1190</v>
      </c>
      <c r="D25" s="57" t="s">
        <v>1132</v>
      </c>
      <c r="E25" s="57" t="s">
        <v>1196</v>
      </c>
      <c r="F25" s="57" t="s">
        <v>1197</v>
      </c>
      <c r="G25" s="57" t="s">
        <v>1198</v>
      </c>
      <c r="H25" s="54" t="s">
        <v>40</v>
      </c>
      <c r="I25" s="57" t="s">
        <v>1160</v>
      </c>
      <c r="J25" s="57" t="s">
        <v>1199</v>
      </c>
      <c r="K25" s="57" t="s">
        <v>906</v>
      </c>
      <c r="L25" s="54" t="s">
        <v>1115</v>
      </c>
    </row>
    <row r="26" spans="1:12" ht="44.25" customHeight="1" x14ac:dyDescent="0.3">
      <c r="A26" s="64" t="s">
        <v>1200</v>
      </c>
      <c r="B26" s="57">
        <v>14</v>
      </c>
      <c r="C26" s="57" t="s">
        <v>1190</v>
      </c>
      <c r="D26" s="57" t="s">
        <v>1201</v>
      </c>
      <c r="E26" s="57" t="s">
        <v>1202</v>
      </c>
      <c r="F26" s="57" t="s">
        <v>1203</v>
      </c>
      <c r="G26" s="57" t="s">
        <v>1204</v>
      </c>
      <c r="H26" s="65" t="s">
        <v>33</v>
      </c>
      <c r="I26" s="57" t="s">
        <v>1143</v>
      </c>
      <c r="J26" s="57" t="s">
        <v>629</v>
      </c>
      <c r="K26" s="57" t="s">
        <v>909</v>
      </c>
      <c r="L26" s="54" t="s">
        <v>1115</v>
      </c>
    </row>
    <row r="27" spans="1:12" ht="44.25" customHeight="1" x14ac:dyDescent="0.3">
      <c r="A27" s="64" t="s">
        <v>1205</v>
      </c>
      <c r="B27" s="57">
        <v>15</v>
      </c>
      <c r="C27" s="57" t="s">
        <v>1190</v>
      </c>
      <c r="D27" s="57" t="s">
        <v>1132</v>
      </c>
      <c r="E27" s="57" t="s">
        <v>1206</v>
      </c>
      <c r="F27" s="57" t="s">
        <v>1207</v>
      </c>
      <c r="G27" s="57" t="s">
        <v>1208</v>
      </c>
      <c r="H27" s="54" t="s">
        <v>40</v>
      </c>
      <c r="I27" s="57" t="s">
        <v>1143</v>
      </c>
      <c r="J27" s="57" t="s">
        <v>629</v>
      </c>
      <c r="K27" s="57" t="s">
        <v>909</v>
      </c>
      <c r="L27" s="54" t="s">
        <v>1115</v>
      </c>
    </row>
    <row r="28" spans="1:12" ht="44.25" customHeight="1" x14ac:dyDescent="0.3">
      <c r="A28" s="64" t="s">
        <v>1209</v>
      </c>
      <c r="B28" s="57">
        <v>16</v>
      </c>
      <c r="C28" s="57" t="s">
        <v>1190</v>
      </c>
      <c r="D28" s="57" t="s">
        <v>1132</v>
      </c>
      <c r="E28" s="57" t="s">
        <v>1210</v>
      </c>
      <c r="F28" s="57" t="s">
        <v>1211</v>
      </c>
      <c r="G28" s="57" t="s">
        <v>1212</v>
      </c>
      <c r="H28" s="54" t="s">
        <v>40</v>
      </c>
      <c r="I28" s="57" t="s">
        <v>1143</v>
      </c>
      <c r="J28" s="57" t="s">
        <v>629</v>
      </c>
      <c r="K28" s="57" t="s">
        <v>909</v>
      </c>
      <c r="L28" s="54" t="s">
        <v>1115</v>
      </c>
    </row>
    <row r="29" spans="1:12" ht="82.5" customHeight="1" x14ac:dyDescent="0.3">
      <c r="A29" s="64" t="s">
        <v>1194</v>
      </c>
      <c r="B29" s="57">
        <v>17</v>
      </c>
      <c r="C29" s="57" t="s">
        <v>1213</v>
      </c>
      <c r="D29" s="57" t="s">
        <v>1132</v>
      </c>
      <c r="E29" s="57" t="s">
        <v>1214</v>
      </c>
      <c r="F29" s="57" t="s">
        <v>1215</v>
      </c>
      <c r="G29" s="57" t="s">
        <v>1216</v>
      </c>
      <c r="H29" s="65" t="s">
        <v>33</v>
      </c>
      <c r="I29" s="57" t="s">
        <v>1136</v>
      </c>
      <c r="J29" s="57" t="s">
        <v>629</v>
      </c>
      <c r="K29" s="57" t="s">
        <v>1217</v>
      </c>
      <c r="L29" s="54" t="s">
        <v>1115</v>
      </c>
    </row>
    <row r="30" spans="1:12" ht="69.75" customHeight="1" x14ac:dyDescent="0.3">
      <c r="A30" s="64" t="s">
        <v>1218</v>
      </c>
      <c r="B30" s="57">
        <v>18</v>
      </c>
      <c r="C30" s="57" t="s">
        <v>1213</v>
      </c>
      <c r="D30" s="57" t="s">
        <v>1219</v>
      </c>
      <c r="E30" s="57" t="s">
        <v>1220</v>
      </c>
      <c r="F30" s="57" t="s">
        <v>1221</v>
      </c>
      <c r="G30" s="57" t="s">
        <v>1222</v>
      </c>
      <c r="H30" s="65" t="s">
        <v>33</v>
      </c>
      <c r="I30" s="57" t="s">
        <v>1136</v>
      </c>
      <c r="J30" s="57" t="s">
        <v>1194</v>
      </c>
      <c r="K30" s="57" t="s">
        <v>1223</v>
      </c>
      <c r="L30" s="54" t="s">
        <v>1115</v>
      </c>
    </row>
    <row r="31" spans="1:12" ht="57" customHeight="1" x14ac:dyDescent="0.3">
      <c r="A31" s="64" t="s">
        <v>1224</v>
      </c>
      <c r="B31" s="57">
        <v>19</v>
      </c>
      <c r="C31" s="57" t="s">
        <v>1213</v>
      </c>
      <c r="D31" s="57" t="s">
        <v>1132</v>
      </c>
      <c r="E31" s="57" t="s">
        <v>1225</v>
      </c>
      <c r="F31" s="57" t="s">
        <v>1226</v>
      </c>
      <c r="G31" s="57" t="s">
        <v>1227</v>
      </c>
      <c r="H31" s="54" t="s">
        <v>40</v>
      </c>
      <c r="I31" s="57" t="s">
        <v>1160</v>
      </c>
      <c r="J31" s="57" t="s">
        <v>1218</v>
      </c>
      <c r="K31" s="57" t="s">
        <v>1228</v>
      </c>
      <c r="L31" s="54" t="s">
        <v>1115</v>
      </c>
    </row>
    <row r="32" spans="1:12" ht="82.5" customHeight="1" x14ac:dyDescent="0.3">
      <c r="A32" s="64" t="s">
        <v>1229</v>
      </c>
      <c r="B32" s="57">
        <v>20</v>
      </c>
      <c r="C32" s="57" t="s">
        <v>1213</v>
      </c>
      <c r="D32" s="57" t="s">
        <v>1219</v>
      </c>
      <c r="E32" s="57" t="s">
        <v>1230</v>
      </c>
      <c r="F32" s="57" t="s">
        <v>1231</v>
      </c>
      <c r="G32" s="57" t="s">
        <v>1232</v>
      </c>
      <c r="H32" s="54" t="s">
        <v>40</v>
      </c>
      <c r="I32" s="57" t="s">
        <v>1160</v>
      </c>
      <c r="J32" s="57" t="s">
        <v>1199</v>
      </c>
      <c r="K32" s="57" t="s">
        <v>1233</v>
      </c>
      <c r="L32" s="54" t="s">
        <v>1115</v>
      </c>
    </row>
    <row r="33" spans="1:12" ht="44.25" customHeight="1" x14ac:dyDescent="0.3">
      <c r="A33" s="64" t="s">
        <v>1234</v>
      </c>
      <c r="B33" s="57">
        <v>21</v>
      </c>
      <c r="C33" s="57" t="s">
        <v>1213</v>
      </c>
      <c r="D33" s="57" t="s">
        <v>1132</v>
      </c>
      <c r="E33" s="57" t="s">
        <v>1235</v>
      </c>
      <c r="F33" s="57" t="s">
        <v>1236</v>
      </c>
      <c r="G33" s="57" t="s">
        <v>1237</v>
      </c>
      <c r="H33" s="55" t="s">
        <v>1187</v>
      </c>
      <c r="I33" s="57" t="s">
        <v>1143</v>
      </c>
      <c r="J33" s="57" t="s">
        <v>1229</v>
      </c>
      <c r="K33" s="57" t="s">
        <v>894</v>
      </c>
      <c r="L33" s="54" t="s">
        <v>1115</v>
      </c>
    </row>
    <row r="34" spans="1:12" ht="69.75" customHeight="1" x14ac:dyDescent="0.3">
      <c r="A34" s="64" t="s">
        <v>1238</v>
      </c>
      <c r="B34" s="57">
        <v>22</v>
      </c>
      <c r="C34" s="57" t="s">
        <v>1213</v>
      </c>
      <c r="D34" s="57" t="s">
        <v>1132</v>
      </c>
      <c r="E34" s="57" t="s">
        <v>1239</v>
      </c>
      <c r="F34" s="57" t="s">
        <v>1240</v>
      </c>
      <c r="G34" s="57" t="s">
        <v>1241</v>
      </c>
      <c r="H34" s="54" t="s">
        <v>40</v>
      </c>
      <c r="I34" s="57" t="s">
        <v>1160</v>
      </c>
      <c r="J34" s="57" t="s">
        <v>1218</v>
      </c>
      <c r="K34" s="57" t="s">
        <v>900</v>
      </c>
      <c r="L34" s="54" t="s">
        <v>1115</v>
      </c>
    </row>
    <row r="35" spans="1:12" ht="57" customHeight="1" x14ac:dyDescent="0.3">
      <c r="A35" s="64" t="s">
        <v>1242</v>
      </c>
      <c r="B35" s="57">
        <v>23</v>
      </c>
      <c r="C35" s="57" t="s">
        <v>1243</v>
      </c>
      <c r="D35" s="57" t="s">
        <v>1244</v>
      </c>
      <c r="E35" s="57" t="s">
        <v>1245</v>
      </c>
      <c r="F35" s="57" t="s">
        <v>1246</v>
      </c>
      <c r="G35" s="57" t="s">
        <v>1247</v>
      </c>
      <c r="H35" s="55" t="s">
        <v>1187</v>
      </c>
      <c r="I35" s="57" t="s">
        <v>1143</v>
      </c>
      <c r="J35" s="57" t="s">
        <v>629</v>
      </c>
      <c r="K35" s="57" t="s">
        <v>909</v>
      </c>
      <c r="L35" s="54" t="s">
        <v>1115</v>
      </c>
    </row>
    <row r="36" spans="1:12" ht="44.25" customHeight="1" x14ac:dyDescent="0.3">
      <c r="A36" s="64" t="s">
        <v>1248</v>
      </c>
      <c r="B36" s="57" t="s">
        <v>629</v>
      </c>
      <c r="C36" s="57" t="s">
        <v>1156</v>
      </c>
      <c r="D36" s="57" t="s">
        <v>1249</v>
      </c>
      <c r="E36" s="57" t="s">
        <v>1250</v>
      </c>
      <c r="F36" s="57" t="s">
        <v>1251</v>
      </c>
      <c r="G36" s="57" t="s">
        <v>1252</v>
      </c>
      <c r="H36" s="54" t="s">
        <v>40</v>
      </c>
      <c r="I36" s="57" t="s">
        <v>1143</v>
      </c>
      <c r="J36" s="57" t="s">
        <v>1167</v>
      </c>
      <c r="K36" s="57" t="s">
        <v>867</v>
      </c>
      <c r="L36" s="54" t="s">
        <v>1115</v>
      </c>
    </row>
    <row r="37" spans="1:12" ht="31.5" customHeight="1" x14ac:dyDescent="0.3">
      <c r="A37" s="64" t="s">
        <v>1253</v>
      </c>
      <c r="B37" s="57" t="s">
        <v>629</v>
      </c>
      <c r="C37" s="57" t="s">
        <v>1131</v>
      </c>
      <c r="D37" s="57" t="s">
        <v>1254</v>
      </c>
      <c r="E37" s="57" t="s">
        <v>1255</v>
      </c>
      <c r="F37" s="57" t="s">
        <v>1256</v>
      </c>
      <c r="G37" s="57" t="s">
        <v>1257</v>
      </c>
      <c r="H37" s="54" t="s">
        <v>40</v>
      </c>
      <c r="I37" s="57" t="s">
        <v>1143</v>
      </c>
      <c r="J37" s="57" t="s">
        <v>1130</v>
      </c>
      <c r="K37" s="57" t="s">
        <v>897</v>
      </c>
      <c r="L37" s="54" t="s">
        <v>1115</v>
      </c>
    </row>
    <row r="38" spans="1:12" ht="69.75" customHeight="1" x14ac:dyDescent="0.3">
      <c r="A38" s="64" t="s">
        <v>1258</v>
      </c>
      <c r="B38" s="57" t="s">
        <v>629</v>
      </c>
      <c r="C38" s="57" t="s">
        <v>1213</v>
      </c>
      <c r="D38" s="57" t="s">
        <v>1259</v>
      </c>
      <c r="E38" s="57" t="s">
        <v>1260</v>
      </c>
      <c r="F38" s="57" t="s">
        <v>1261</v>
      </c>
      <c r="G38" s="57" t="s">
        <v>1262</v>
      </c>
      <c r="H38" s="65" t="s">
        <v>33</v>
      </c>
      <c r="I38" s="57" t="s">
        <v>1160</v>
      </c>
      <c r="J38" s="57" t="s">
        <v>1199</v>
      </c>
      <c r="K38" s="57" t="s">
        <v>778</v>
      </c>
      <c r="L38" s="54" t="s">
        <v>1115</v>
      </c>
    </row>
    <row r="39" spans="1:12" ht="44.25" customHeight="1" x14ac:dyDescent="0.3">
      <c r="A39" s="64" t="s">
        <v>1263</v>
      </c>
      <c r="B39" s="57" t="s">
        <v>629</v>
      </c>
      <c r="C39" s="57" t="s">
        <v>1156</v>
      </c>
      <c r="D39" s="57" t="s">
        <v>1249</v>
      </c>
      <c r="E39" s="57" t="s">
        <v>1264</v>
      </c>
      <c r="F39" s="57" t="s">
        <v>1265</v>
      </c>
      <c r="G39" s="57" t="s">
        <v>1266</v>
      </c>
      <c r="H39" s="65" t="s">
        <v>33</v>
      </c>
      <c r="I39" s="57" t="s">
        <v>1143</v>
      </c>
      <c r="J39" s="57" t="s">
        <v>1161</v>
      </c>
      <c r="K39" s="57" t="s">
        <v>754</v>
      </c>
      <c r="L39" s="54" t="s">
        <v>1115</v>
      </c>
    </row>
    <row r="40" spans="1:12" ht="44.25" customHeight="1" x14ac:dyDescent="0.3">
      <c r="A40" s="64" t="s">
        <v>1267</v>
      </c>
      <c r="B40" s="57" t="s">
        <v>629</v>
      </c>
      <c r="C40" s="57" t="s">
        <v>1150</v>
      </c>
      <c r="D40" s="57" t="s">
        <v>1249</v>
      </c>
      <c r="E40" s="57" t="s">
        <v>1268</v>
      </c>
      <c r="F40" s="57" t="s">
        <v>1269</v>
      </c>
      <c r="G40" s="57" t="s">
        <v>1270</v>
      </c>
      <c r="H40" s="65" t="s">
        <v>33</v>
      </c>
      <c r="I40" s="57" t="s">
        <v>1160</v>
      </c>
      <c r="J40" s="57" t="s">
        <v>1149</v>
      </c>
      <c r="K40" s="57" t="s">
        <v>875</v>
      </c>
      <c r="L40" s="54" t="s">
        <v>1115</v>
      </c>
    </row>
    <row r="41" spans="1:12" ht="69.75" customHeight="1" x14ac:dyDescent="0.3">
      <c r="A41" s="64" t="s">
        <v>1271</v>
      </c>
      <c r="B41" s="57" t="s">
        <v>629</v>
      </c>
      <c r="C41" s="57" t="s">
        <v>1213</v>
      </c>
      <c r="D41" s="57" t="s">
        <v>1272</v>
      </c>
      <c r="E41" s="57" t="s">
        <v>1273</v>
      </c>
      <c r="F41" s="57" t="s">
        <v>1274</v>
      </c>
      <c r="G41" s="57" t="s">
        <v>1275</v>
      </c>
      <c r="H41" s="65" t="s">
        <v>33</v>
      </c>
      <c r="I41" s="57" t="s">
        <v>1160</v>
      </c>
      <c r="J41" s="57" t="s">
        <v>1218</v>
      </c>
      <c r="K41" s="57" t="s">
        <v>786</v>
      </c>
      <c r="L41" s="54" t="s">
        <v>1115</v>
      </c>
    </row>
    <row r="42" spans="1:12" ht="44.25" customHeight="1" x14ac:dyDescent="0.3">
      <c r="A42" s="64" t="s">
        <v>1276</v>
      </c>
      <c r="B42" s="57" t="s">
        <v>629</v>
      </c>
      <c r="C42" s="57" t="s">
        <v>1277</v>
      </c>
      <c r="D42" s="57" t="s">
        <v>1249</v>
      </c>
      <c r="E42" s="57" t="s">
        <v>1278</v>
      </c>
      <c r="F42" s="57" t="s">
        <v>1279</v>
      </c>
      <c r="G42" s="57" t="s">
        <v>1280</v>
      </c>
      <c r="H42" s="54" t="s">
        <v>40</v>
      </c>
      <c r="I42" s="57" t="s">
        <v>1143</v>
      </c>
      <c r="J42" s="57" t="s">
        <v>1281</v>
      </c>
      <c r="K42" s="57" t="s">
        <v>912</v>
      </c>
      <c r="L42" s="54" t="s">
        <v>1115</v>
      </c>
    </row>
    <row r="43" spans="1:12" ht="44.25" customHeight="1" x14ac:dyDescent="0.3">
      <c r="A43" s="64" t="s">
        <v>1282</v>
      </c>
      <c r="B43" s="57" t="s">
        <v>629</v>
      </c>
      <c r="C43" s="57" t="s">
        <v>1277</v>
      </c>
      <c r="D43" s="57" t="s">
        <v>1283</v>
      </c>
      <c r="E43" s="57" t="s">
        <v>1284</v>
      </c>
      <c r="F43" s="57" t="s">
        <v>1285</v>
      </c>
      <c r="G43" s="57" t="s">
        <v>1286</v>
      </c>
      <c r="H43" s="54" t="s">
        <v>40</v>
      </c>
      <c r="I43" s="57" t="s">
        <v>1143</v>
      </c>
      <c r="J43" s="57" t="s">
        <v>1218</v>
      </c>
      <c r="K43" s="57" t="s">
        <v>1287</v>
      </c>
      <c r="L43" s="54" t="s">
        <v>1115</v>
      </c>
    </row>
  </sheetData>
  <mergeCells count="8">
    <mergeCell ref="A8:D8"/>
    <mergeCell ref="A9:D9"/>
    <mergeCell ref="A10:D10"/>
    <mergeCell ref="A1:L1"/>
    <mergeCell ref="A2:L2"/>
    <mergeCell ref="A5:D5"/>
    <mergeCell ref="A6:D6"/>
    <mergeCell ref="A7:D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vt:lpstr>
      <vt:lpstr>Product Backlog</vt:lpstr>
      <vt:lpstr>Sprint 1</vt:lpstr>
      <vt:lpstr>Sprint 2</vt:lpstr>
      <vt:lpstr>Sprint 3</vt:lpstr>
      <vt:lpstr>Sprint 4</vt:lpstr>
      <vt:lpstr>Sprint 5</vt:lpstr>
      <vt:lpstr>Sprint 6 Brief</vt:lpstr>
      <vt:lpstr>Sprint 6</vt:lpstr>
      <vt:lpstr>Gap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Nazmuz Saif</cp:lastModifiedBy>
  <cp:revision>0</cp:revision>
  <dcterms:created xsi:type="dcterms:W3CDTF">2026-10-20T09:59:29Z</dcterms:created>
  <dcterms:modified xsi:type="dcterms:W3CDTF">2026-10-20T10:20:31Z</dcterms:modified>
  <dc:language>en-US</dc:language>
</cp:coreProperties>
</file>