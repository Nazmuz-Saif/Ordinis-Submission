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b4\Downloads\"/>
    </mc:Choice>
  </mc:AlternateContent>
  <xr:revisionPtr revIDLastSave="0" documentId="13_ncr:1_{97FBD880-C31B-48A1-80A2-458E58561B4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print Retro" sheetId="1" r:id="rId1"/>
    <sheet name="New Backlog" sheetId="2" r:id="rId2"/>
    <sheet name="Retrospective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 l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E6" i="1" s="1"/>
  <c r="E7" i="1"/>
  <c r="E4" i="1" l="1"/>
  <c r="E5" i="1"/>
  <c r="E8" i="1" l="1"/>
</calcChain>
</file>

<file path=xl/sharedStrings.xml><?xml version="1.0" encoding="utf-8"?>
<sst xmlns="http://schemas.openxmlformats.org/spreadsheetml/2006/main" count="161" uniqueCount="99">
  <si>
    <t>Sprint Retrospective – Partially Filled Example</t>
  </si>
  <si>
    <t>Sprint Details</t>
  </si>
  <si>
    <t>Sprint Summary</t>
  </si>
  <si>
    <t>Sprint Name / No.</t>
  </si>
  <si>
    <t>Sprint 12</t>
  </si>
  <si>
    <t>Total Stories</t>
  </si>
  <si>
    <t>Sprint Start Date</t>
  </si>
  <si>
    <t>01-Sep-2026</t>
  </si>
  <si>
    <t>Completed Stories</t>
  </si>
  <si>
    <t>Sprint End Date</t>
  </si>
  <si>
    <t>14-Sep-2026</t>
  </si>
  <si>
    <t>Incomplete Stories</t>
  </si>
  <si>
    <t>New Backlog Stories Created</t>
  </si>
  <si>
    <t>Completion %</t>
  </si>
  <si>
    <t>Story Status / Task Tracking</t>
  </si>
  <si>
    <t>Story No.</t>
  </si>
  <si>
    <t>Task</t>
  </si>
  <si>
    <t>Task Status</t>
  </si>
  <si>
    <t>Task Owner</t>
  </si>
  <si>
    <t>Reason for Not Completing Task</t>
  </si>
  <si>
    <t>New Backlog Story No.</t>
  </si>
  <si>
    <t>Story Result</t>
  </si>
  <si>
    <t>ST-101</t>
  </si>
  <si>
    <t>Create login UI</t>
  </si>
  <si>
    <t>Completed</t>
  </si>
  <si>
    <t>Ayesha</t>
  </si>
  <si>
    <t>Implement authentication API</t>
  </si>
  <si>
    <t>Rahim</t>
  </si>
  <si>
    <t>Add login validation tests</t>
  </si>
  <si>
    <t>Nabila</t>
  </si>
  <si>
    <t>ST-102</t>
  </si>
  <si>
    <t>Create profile page</t>
  </si>
  <si>
    <t>Implement profile update API</t>
  </si>
  <si>
    <t>Blocked</t>
  </si>
  <si>
    <t>Dependency on identity-service API was not available.</t>
  </si>
  <si>
    <t>BL-201</t>
  </si>
  <si>
    <t>Add profile tests</t>
  </si>
  <si>
    <t>ST-103</t>
  </si>
  <si>
    <t>Build export report screen</t>
  </si>
  <si>
    <t>Generate PDF report</t>
  </si>
  <si>
    <t>Deferred</t>
  </si>
  <si>
    <t>Farhan</t>
  </si>
  <si>
    <t>Scope was larger than estimated and remaining work was moved to backlog.</t>
  </si>
  <si>
    <t>BL-202</t>
  </si>
  <si>
    <t>ST-104</t>
  </si>
  <si>
    <t>Add audit-log table</t>
  </si>
  <si>
    <t>Add audit-log search</t>
  </si>
  <si>
    <t>New Backlog Stories for Incomplete Tasks</t>
  </si>
  <si>
    <t>At retrospective time, New Backlog Status is limited to To Do or Ready. In Progress begins only after a story is selected during Sprint Planning.</t>
  </si>
  <si>
    <t>Source Sprint Story No.</t>
  </si>
  <si>
    <t>Incomplete Task</t>
  </si>
  <si>
    <t>Owner</t>
  </si>
  <si>
    <t>Reason / Context</t>
  </si>
  <si>
    <t>Priority</t>
  </si>
  <si>
    <t>Backlog Status</t>
  </si>
  <si>
    <t>Notes / Acceptance Criteria</t>
  </si>
  <si>
    <t>Complete profile update API</t>
  </si>
  <si>
    <t>Identity-service dependency was unavailable during Sprint 12.</t>
  </si>
  <si>
    <t>High</t>
  </si>
  <si>
    <t>Ready</t>
  </si>
  <si>
    <t>Complete API integration and verify profile update end-to-end.</t>
  </si>
  <si>
    <t>Complete PDF report generation</t>
  </si>
  <si>
    <t>Remaining PDF-generation work exceeded the sprint estimate.</t>
  </si>
  <si>
    <t>Medium</t>
  </si>
  <si>
    <t>To Do</t>
  </si>
  <si>
    <t>Refine estimate and split PDF rendering from formatting if needed.</t>
  </si>
  <si>
    <t>Sprint Retrospective Discussion &amp; Actions</t>
  </si>
  <si>
    <t>A. What Went Well</t>
  </si>
  <si>
    <t>No.</t>
  </si>
  <si>
    <t>Observation / Feedback</t>
  </si>
  <si>
    <t>Impact</t>
  </si>
  <si>
    <t>Action / Follow-up</t>
  </si>
  <si>
    <t>Target / Notes</t>
  </si>
  <si>
    <t>Authentication work was completed as planned.</t>
  </si>
  <si>
    <t>Keep early API/UI coordination in the next sprint.</t>
  </si>
  <si>
    <t>Team</t>
  </si>
  <si>
    <t>Continue the same practice.</t>
  </si>
  <si>
    <t>Audit-log story was completed without carry-over.</t>
  </si>
  <si>
    <t>Reuse the same task breakdown approach.</t>
  </si>
  <si>
    <t>Apply to similar backend stories.</t>
  </si>
  <si>
    <t>B. What Didn't Go Well</t>
  </si>
  <si>
    <t>Profile API was blocked by an external dependency.</t>
  </si>
  <si>
    <t>Identify external dependencies before sprint commitment.</t>
  </si>
  <si>
    <t>Before next Sprint Planning.</t>
  </si>
  <si>
    <t>PDF-report work was underestimated.</t>
  </si>
  <si>
    <t>Break reporting work into smaller estimable tasks.</t>
  </si>
  <si>
    <t>During backlog refinement.</t>
  </si>
  <si>
    <t>C. What Can Be Improved</t>
  </si>
  <si>
    <t>Dependency readiness should be checked earlier.</t>
  </si>
  <si>
    <t>Add a dependency-readiness check to refinement.</t>
  </si>
  <si>
    <t>Starting next refinement session.</t>
  </si>
  <si>
    <t>Large technical tasks need smaller acceptance units.</t>
  </si>
  <si>
    <t>Split large tasks before they enter Sprint Planning.</t>
  </si>
  <si>
    <t>Scrum Team</t>
  </si>
  <si>
    <t>Next sprint backlog.</t>
  </si>
  <si>
    <t>New Backlog Status</t>
  </si>
  <si>
    <t>Not Started</t>
  </si>
  <si>
    <t>In Progress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</si>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</sst>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2"/>
      <color rgb="FF1F1F1F"/>
      <name val="Carlito"/>
    </font>
    <font>
      <b/>
      <sz val="11"/>
      <name val="Carlito"/>
    </font>
    <font>
      <b/>
      <sz val="12"/>
      <name val="Carlito"/>
    </font>
    <font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DF2"/>
      </patternFill>
    </fill>
    <fill>
      <patternFill patternType="solid">
        <fgColor rgb="FFF3F8FC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wrapText="1"/>
    </xf>
    <xf numFmtId="9" fontId="5" fillId="7" borderId="0" xfId="0" applyNumberFormat="1" applyFont="1" applyFill="1" applyAlignment="1">
      <alignment horizontal="center" wrapText="1"/>
    </xf>
    <xf numFmtId="0" fontId="4" fillId="7" borderId="3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7" borderId="8" xfId="0" applyFont="1" applyFill="1" applyBorder="1" applyAlignment="1">
      <alignment horizontal="center" vertical="top" wrapText="1"/>
    </xf>
    <xf numFmtId="0" fontId="0" fillId="6" borderId="3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yTaskTable" displayName="StoryTaskTable" ref="A11:G111" totalsRowShown="0">
  <tableColumns count="7">
    <tableColumn id="1" xr3:uid="{00000000-0010-0000-0000-000001000000}" name="Story No."/>
    <tableColumn id="2" xr3:uid="{00000000-0010-0000-0000-000002000000}" name="Task"/>
    <tableColumn id="3" xr3:uid="{00000000-0010-0000-0000-000003000000}" name="Task Status"/>
    <tableColumn id="4" xr3:uid="{00000000-0010-0000-0000-000004000000}" name="Task Owner"/>
    <tableColumn id="5" xr3:uid="{00000000-0010-0000-0000-000005000000}" name="Reason for Not Completing Task"/>
    <tableColumn id="6" xr3:uid="{00000000-0010-0000-0000-000006000000}" name="New Backlog Story No."/>
    <tableColumn id="7" xr3:uid="{00000000-0010-0000-0000-000007000000}" name="Story 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wBacklogTable" displayName="NewBacklogTable" ref="A4:H104" totalsRowShown="0">
  <tableColumns count="8">
    <tableColumn id="1" xr3:uid="{00000000-0010-0000-0100-000001000000}" name="New Backlog Story No."/>
    <tableColumn id="2" xr3:uid="{00000000-0010-0000-0100-000002000000}" name="Source Sprint Story No."/>
    <tableColumn id="3" xr3:uid="{00000000-0010-0000-0100-000003000000}" name="Incomplete Task"/>
    <tableColumn id="4" xr3:uid="{00000000-0010-0000-0100-000004000000}" name="Owner"/>
    <tableColumn id="5" xr3:uid="{00000000-0010-0000-0100-000005000000}" name="Reason / Context"/>
    <tableColumn id="6" xr3:uid="{00000000-0010-0000-0100-000006000000}" name="Priority"/>
    <tableColumn id="7" xr3:uid="{00000000-0010-0000-0100-000007000000}" name="Backlog Status"/>
    <tableColumn id="8" xr3:uid="{00000000-0010-0000-0100-000008000000}" name="Notes / Acceptance Crite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ntWellTable" displayName="WentWellTable" ref="A4:F12" totalsRowShown="0">
  <tableColumns count="6">
    <tableColumn id="1" xr3:uid="{00000000-0010-0000-0200-000001000000}" name="No."/>
    <tableColumn id="2" xr3:uid="{00000000-0010-0000-0200-000002000000}" name="Observation / Feedback"/>
    <tableColumn id="3" xr3:uid="{00000000-0010-0000-0200-000003000000}" name="Impact"/>
    <tableColumn id="4" xr3:uid="{00000000-0010-0000-0200-000004000000}" name="Action / Follow-up"/>
    <tableColumn id="5" xr3:uid="{00000000-0010-0000-0200-000005000000}" name="Owner"/>
    <tableColumn id="6" xr3:uid="{00000000-0010-0000-0200-000006000000}" name="Target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dntGoWellTable" displayName="DidntGoWellTable" ref="A15:F23" totalsRowShown="0">
  <tableColumns count="6">
    <tableColumn id="1" xr3:uid="{00000000-0010-0000-0300-000001000000}" name="No."/>
    <tableColumn id="2" xr3:uid="{00000000-0010-0000-0300-000002000000}" name="Observation / Feedback"/>
    <tableColumn id="3" xr3:uid="{00000000-0010-0000-0300-000003000000}" name="Impact"/>
    <tableColumn id="4" xr3:uid="{00000000-0010-0000-0300-000004000000}" name="Action / Follow-up"/>
    <tableColumn id="5" xr3:uid="{00000000-0010-0000-0300-000005000000}" name="Owner"/>
    <tableColumn id="6" xr3:uid="{00000000-0010-0000-0300-000006000000}" name="Target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nImproveTable" displayName="CanImproveTable" ref="A26:F34" totalsRowShown="0">
  <tableColumns count="6">
    <tableColumn id="1" xr3:uid="{00000000-0010-0000-0400-000001000000}" name="No."/>
    <tableColumn id="2" xr3:uid="{00000000-0010-0000-0400-000002000000}" name="Observation / Feedback"/>
    <tableColumn id="3" xr3:uid="{00000000-0010-0000-0400-000003000000}" name="Impact"/>
    <tableColumn id="4" xr3:uid="{00000000-0010-0000-0400-000004000000}" name="Action / Follow-up"/>
    <tableColumn id="5" xr3:uid="{00000000-0010-0000-0400-000005000000}" name="Owner"/>
    <tableColumn id="6" xr3:uid="{00000000-0010-0000-0400-000006000000}" name="Target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opLeftCell="A7" workbookViewId="0">
      <selection activeCell="F16" sqref="F16:F19"/>
    </sheetView>
  </sheetViews>
  <sheetFormatPr defaultRowHeight="14.25"/>
  <cols>
    <col min="1" max="1" width="14" customWidth="1"/>
    <col min="2" max="2" width="31" customWidth="1"/>
    <col min="3" max="3" width="16" customWidth="1"/>
    <col min="4" max="4" width="18" customWidth="1"/>
    <col min="5" max="5" width="40" customWidth="1"/>
    <col min="6" max="6" width="21" customWidth="1"/>
    <col min="7" max="7" width="16" customWidth="1"/>
  </cols>
  <sheetData>
    <row r="1" spans="1:7" ht="30" customHeight="1">
      <c r="A1" s="18" t="s">
        <v>0</v>
      </c>
      <c r="B1" s="18"/>
      <c r="C1" s="18"/>
      <c r="D1" s="18"/>
      <c r="E1" s="18"/>
      <c r="F1" s="18"/>
      <c r="G1" s="18"/>
    </row>
    <row r="2" spans="1:7">
      <c r="A2" s="8"/>
      <c r="B2" s="8"/>
      <c r="C2" s="8"/>
      <c r="D2" s="8"/>
      <c r="E2" s="8"/>
      <c r="F2" s="8"/>
      <c r="G2" s="8"/>
    </row>
    <row r="3" spans="1:7" ht="15.75">
      <c r="A3" s="19" t="s">
        <v>1</v>
      </c>
      <c r="B3" s="19"/>
      <c r="C3" s="8"/>
      <c r="D3" s="19" t="s">
        <v>2</v>
      </c>
      <c r="E3" s="19"/>
      <c r="F3" s="19"/>
      <c r="G3" s="8"/>
    </row>
    <row r="4" spans="1:7" ht="30">
      <c r="A4" s="9" t="s">
        <v>3</v>
      </c>
      <c r="B4" s="2" t="s">
        <v>4</v>
      </c>
      <c r="C4" s="8"/>
      <c r="D4" s="9" t="s">
        <v>5</v>
      </c>
      <c r="E4" s="10">
        <f>COUNTIF($G$12:$G$111,"Completed")+COUNTIF($G$12:$G$111,"Incomplete")</f>
        <v>4</v>
      </c>
      <c r="F4" s="8"/>
      <c r="G4" s="8"/>
    </row>
    <row r="5" spans="1:7" ht="30">
      <c r="A5" s="9" t="s">
        <v>6</v>
      </c>
      <c r="B5" s="2" t="s">
        <v>7</v>
      </c>
      <c r="C5" s="8"/>
      <c r="D5" s="9" t="s">
        <v>8</v>
      </c>
      <c r="E5" s="10">
        <f>COUNTIF($G$12:$G$111,"Completed")</f>
        <v>2</v>
      </c>
      <c r="F5" s="8"/>
      <c r="G5" s="8"/>
    </row>
    <row r="6" spans="1:7" ht="30">
      <c r="A6" s="9" t="s">
        <v>9</v>
      </c>
      <c r="B6" s="2" t="s">
        <v>10</v>
      </c>
      <c r="C6" s="8"/>
      <c r="D6" s="9" t="s">
        <v>11</v>
      </c>
      <c r="E6" s="10">
        <f>COUNTIF($G$12:$G$111,"Incomplete")</f>
        <v>2</v>
      </c>
      <c r="F6" s="8"/>
      <c r="G6" s="8"/>
    </row>
    <row r="7" spans="1:7" ht="30">
      <c r="A7" s="8"/>
      <c r="B7" s="8"/>
      <c r="C7" s="8"/>
      <c r="D7" s="9" t="s">
        <v>12</v>
      </c>
      <c r="E7" s="10">
        <f>COUNTIF('New Backlog'!$A$5:$A$104,"&lt;&gt;")</f>
        <v>2</v>
      </c>
      <c r="F7" s="8"/>
      <c r="G7" s="8"/>
    </row>
    <row r="8" spans="1:7" ht="15.75">
      <c r="A8" s="8"/>
      <c r="B8" s="8"/>
      <c r="C8" s="8"/>
      <c r="D8" s="9" t="s">
        <v>13</v>
      </c>
      <c r="E8" s="11">
        <f>IFERROR(E5/E4,0)</f>
        <v>0.5</v>
      </c>
      <c r="F8" s="8"/>
      <c r="G8" s="8"/>
    </row>
    <row r="9" spans="1:7">
      <c r="A9" s="8"/>
      <c r="B9" s="8"/>
      <c r="C9" s="8"/>
      <c r="D9" s="8"/>
      <c r="E9" s="8"/>
      <c r="F9" s="8"/>
      <c r="G9" s="8"/>
    </row>
    <row r="10" spans="1:7" ht="15.75">
      <c r="A10" s="19" t="s">
        <v>14</v>
      </c>
      <c r="B10" s="19"/>
      <c r="C10" s="19"/>
      <c r="D10" s="19"/>
      <c r="E10" s="19"/>
      <c r="F10" s="19"/>
      <c r="G10" s="19"/>
    </row>
    <row r="11" spans="1:7" ht="38.1" customHeight="1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</row>
    <row r="12" spans="1:7" ht="15">
      <c r="A12" s="3" t="s">
        <v>22</v>
      </c>
      <c r="B12" s="4" t="s">
        <v>23</v>
      </c>
      <c r="C12" s="4" t="s">
        <v>24</v>
      </c>
      <c r="D12" s="4" t="s">
        <v>25</v>
      </c>
      <c r="E12" s="4"/>
      <c r="F12" s="4"/>
      <c r="G12" s="12" t="str">
        <f>IF(A12="","",IF(COUNTIF($A$12:A12,A12)&gt;1,"",IF(COUNTIFS($A$12:$A$111,A12,$C$12:$C$111,"Completed")=COUNTIF($A$12:$A$111,A12),"Completed","Incomplete")))</f>
        <v>Completed</v>
      </c>
    </row>
    <row r="13" spans="1:7" ht="15">
      <c r="A13" s="5" t="s">
        <v>22</v>
      </c>
      <c r="B13" s="2" t="s">
        <v>26</v>
      </c>
      <c r="C13" s="2" t="s">
        <v>24</v>
      </c>
      <c r="D13" s="2" t="s">
        <v>27</v>
      </c>
      <c r="E13" s="2"/>
      <c r="F13" s="2"/>
      <c r="G13" s="13" t="str">
        <f>IF(A13="","",IF(COUNTIF($A$12:A13,A13)&gt;1,"",IF(COUNTIFS($A$12:$A$111,A13,$C$12:$C$111,"Completed")=COUNTIF($A$12:$A$111,A13),"Completed","Incomplete")))</f>
        <v/>
      </c>
    </row>
    <row r="14" spans="1:7" ht="15">
      <c r="A14" s="5" t="s">
        <v>22</v>
      </c>
      <c r="B14" s="2" t="s">
        <v>28</v>
      </c>
      <c r="C14" s="2" t="s">
        <v>24</v>
      </c>
      <c r="D14" s="2" t="s">
        <v>29</v>
      </c>
      <c r="E14" s="2"/>
      <c r="F14" s="2"/>
      <c r="G14" s="13" t="str">
        <f>IF(A14="","",IF(COUNTIF($A$12:A14,A14)&gt;1,"",IF(COUNTIFS($A$12:$A$111,A14,$C$12:$C$111,"Completed")=COUNTIF($A$12:$A$111,A14),"Completed","Incomplete")))</f>
        <v/>
      </c>
    </row>
    <row r="15" spans="1:7" ht="15">
      <c r="A15" s="5" t="s">
        <v>30</v>
      </c>
      <c r="B15" s="2" t="s">
        <v>31</v>
      </c>
      <c r="C15" s="2" t="s">
        <v>24</v>
      </c>
      <c r="D15" s="2" t="s">
        <v>25</v>
      </c>
      <c r="E15" s="2"/>
      <c r="F15" s="2"/>
      <c r="G15" s="13" t="str">
        <f>IF(A15="","",IF(COUNTIF($A$12:A15,A15)&gt;1,"",IF(COUNTIFS($A$12:$A$111,A15,$C$12:$C$111,"Completed")=COUNTIF($A$12:$A$111,A15),"Completed","Incomplete")))</f>
        <v>Incomplete</v>
      </c>
    </row>
    <row r="16" spans="1:7" ht="28.5">
      <c r="A16" s="5" t="s">
        <v>30</v>
      </c>
      <c r="B16" s="2" t="s">
        <v>32</v>
      </c>
      <c r="C16" s="2" t="s">
        <v>33</v>
      </c>
      <c r="D16" s="2" t="s">
        <v>27</v>
      </c>
      <c r="E16" s="2" t="s">
        <v>34</v>
      </c>
      <c r="F16" s="2" t="s">
        <v>35</v>
      </c>
      <c r="G16" s="13" t="str">
        <f>IF(A16="","",IF(COUNTIF($A$12:A16,A16)&gt;1,"",IF(COUNTIFS($A$12:$A$111,A16,$C$12:$C$111,"Completed")=COUNTIF($A$12:$A$111,A16),"Completed","Incomplete")))</f>
        <v/>
      </c>
    </row>
    <row r="17" spans="1:7" ht="15">
      <c r="A17" s="5" t="s">
        <v>30</v>
      </c>
      <c r="B17" s="2" t="s">
        <v>36</v>
      </c>
      <c r="C17" s="2" t="s">
        <v>24</v>
      </c>
      <c r="D17" s="2" t="s">
        <v>29</v>
      </c>
      <c r="E17" s="2"/>
      <c r="F17" s="2"/>
      <c r="G17" s="13" t="str">
        <f>IF(A17="","",IF(COUNTIF($A$12:A17,A17)&gt;1,"",IF(COUNTIFS($A$12:$A$111,A17,$C$12:$C$111,"Completed")=COUNTIF($A$12:$A$111,A17),"Completed","Incomplete")))</f>
        <v/>
      </c>
    </row>
    <row r="18" spans="1:7" ht="15">
      <c r="A18" s="5" t="s">
        <v>37</v>
      </c>
      <c r="B18" s="2" t="s">
        <v>38</v>
      </c>
      <c r="C18" s="2" t="s">
        <v>24</v>
      </c>
      <c r="D18" s="2" t="s">
        <v>25</v>
      </c>
      <c r="E18" s="2"/>
      <c r="F18" s="2"/>
      <c r="G18" s="13" t="str">
        <f>IF(A18="","",IF(COUNTIF($A$12:A18,A18)&gt;1,"",IF(COUNTIFS($A$12:$A$111,A18,$C$12:$C$111,"Completed")=COUNTIF($A$12:$A$111,A18),"Completed","Incomplete")))</f>
        <v>Incomplete</v>
      </c>
    </row>
    <row r="19" spans="1:7" ht="28.5">
      <c r="A19" s="5" t="s">
        <v>37</v>
      </c>
      <c r="B19" s="2" t="s">
        <v>39</v>
      </c>
      <c r="C19" s="2" t="s">
        <v>40</v>
      </c>
      <c r="D19" s="2" t="s">
        <v>41</v>
      </c>
      <c r="E19" s="2" t="s">
        <v>42</v>
      </c>
      <c r="F19" s="2" t="s">
        <v>43</v>
      </c>
      <c r="G19" s="13" t="str">
        <f>IF(A19="","",IF(COUNTIF($A$12:A19,A19)&gt;1,"",IF(COUNTIFS($A$12:$A$111,A19,$C$12:$C$111,"Completed")=COUNTIF($A$12:$A$111,A19),"Completed","Incomplete")))</f>
        <v/>
      </c>
    </row>
    <row r="20" spans="1:7" ht="15">
      <c r="A20" s="5" t="s">
        <v>44</v>
      </c>
      <c r="B20" s="2" t="s">
        <v>45</v>
      </c>
      <c r="C20" s="2" t="s">
        <v>24</v>
      </c>
      <c r="D20" s="2" t="s">
        <v>27</v>
      </c>
      <c r="E20" s="2"/>
      <c r="F20" s="2"/>
      <c r="G20" s="13" t="str">
        <f>IF(A20="","",IF(COUNTIF($A$12:A20,A20)&gt;1,"",IF(COUNTIFS($A$12:$A$111,A20,$C$12:$C$111,"Completed")=COUNTIF($A$12:$A$111,A20),"Completed","Incomplete")))</f>
        <v>Completed</v>
      </c>
    </row>
    <row r="21" spans="1:7" ht="15">
      <c r="A21" s="5" t="s">
        <v>44</v>
      </c>
      <c r="B21" s="2" t="s">
        <v>46</v>
      </c>
      <c r="C21" s="2" t="s">
        <v>24</v>
      </c>
      <c r="D21" s="2" t="s">
        <v>41</v>
      </c>
      <c r="E21" s="2"/>
      <c r="F21" s="2"/>
      <c r="G21" s="13" t="str">
        <f>IF(A21="","",IF(COUNTIF($A$12:A21,A21)&gt;1,"",IF(COUNTIFS($A$12:$A$111,A21,$C$12:$C$111,"Completed")=COUNTIF($A$12:$A$111,A21),"Completed","Incomplete")))</f>
        <v/>
      </c>
    </row>
    <row r="22" spans="1:7" ht="15">
      <c r="A22" s="5"/>
      <c r="B22" s="2"/>
      <c r="C22" s="2"/>
      <c r="D22" s="2"/>
      <c r="E22" s="2"/>
      <c r="F22" s="2"/>
      <c r="G22" s="13" t="str">
        <f>IF(A22="","",IF(COUNTIF($A$12:A22,A22)&gt;1,"",IF(COUNTIFS($A$12:$A$111,A22,$C$12:$C$111,"Completed")=COUNTIF($A$12:$A$111,A22),"Completed","Incomplete")))</f>
        <v/>
      </c>
    </row>
    <row r="23" spans="1:7" ht="15">
      <c r="A23" s="5"/>
      <c r="B23" s="2"/>
      <c r="C23" s="2"/>
      <c r="D23" s="2"/>
      <c r="E23" s="2"/>
      <c r="F23" s="2"/>
      <c r="G23" s="13" t="str">
        <f>IF(A23="","",IF(COUNTIF($A$12:A23,A23)&gt;1,"",IF(COUNTIFS($A$12:$A$111,A23,$C$12:$C$111,"Completed")=COUNTIF($A$12:$A$111,A23),"Completed","Incomplete")))</f>
        <v/>
      </c>
    </row>
    <row r="24" spans="1:7" ht="15">
      <c r="A24" s="5"/>
      <c r="B24" s="2"/>
      <c r="C24" s="2"/>
      <c r="D24" s="2"/>
      <c r="E24" s="2"/>
      <c r="F24" s="2"/>
      <c r="G24" s="13" t="str">
        <f>IF(A24="","",IF(COUNTIF($A$12:A24,A24)&gt;1,"",IF(COUNTIFS($A$12:$A$111,A24,$C$12:$C$111,"Completed")=COUNTIF($A$12:$A$111,A24),"Completed","Incomplete")))</f>
        <v/>
      </c>
    </row>
    <row r="25" spans="1:7" ht="15">
      <c r="A25" s="5"/>
      <c r="B25" s="2"/>
      <c r="C25" s="2"/>
      <c r="D25" s="2"/>
      <c r="E25" s="2"/>
      <c r="F25" s="2"/>
      <c r="G25" s="13" t="str">
        <f>IF(A25="","",IF(COUNTIF($A$12:A25,A25)&gt;1,"",IF(COUNTIFS($A$12:$A$111,A25,$C$12:$C$111,"Completed")=COUNTIF($A$12:$A$111,A25),"Completed","Incomplete")))</f>
        <v/>
      </c>
    </row>
    <row r="26" spans="1:7" ht="15">
      <c r="A26" s="5"/>
      <c r="B26" s="2"/>
      <c r="C26" s="2"/>
      <c r="D26" s="2"/>
      <c r="E26" s="2"/>
      <c r="F26" s="2"/>
      <c r="G26" s="13" t="str">
        <f>IF(A26="","",IF(COUNTIF($A$12:A26,A26)&gt;1,"",IF(COUNTIFS($A$12:$A$111,A26,$C$12:$C$111,"Completed")=COUNTIF($A$12:$A$111,A26),"Completed","Incomplete")))</f>
        <v/>
      </c>
    </row>
    <row r="27" spans="1:7" ht="15">
      <c r="A27" s="5"/>
      <c r="B27" s="2"/>
      <c r="C27" s="2"/>
      <c r="D27" s="2"/>
      <c r="E27" s="2"/>
      <c r="F27" s="2"/>
      <c r="G27" s="13" t="str">
        <f>IF(A27="","",IF(COUNTIF($A$12:A27,A27)&gt;1,"",IF(COUNTIFS($A$12:$A$111,A27,$C$12:$C$111,"Completed")=COUNTIF($A$12:$A$111,A27),"Completed","Incomplete")))</f>
        <v/>
      </c>
    </row>
    <row r="28" spans="1:7" ht="15">
      <c r="A28" s="5"/>
      <c r="B28" s="2"/>
      <c r="C28" s="2"/>
      <c r="D28" s="2"/>
      <c r="E28" s="2"/>
      <c r="F28" s="2"/>
      <c r="G28" s="13" t="str">
        <f>IF(A28="","",IF(COUNTIF($A$12:A28,A28)&gt;1,"",IF(COUNTIFS($A$12:$A$111,A28,$C$12:$C$111,"Completed")=COUNTIF($A$12:$A$111,A28),"Completed","Incomplete")))</f>
        <v/>
      </c>
    </row>
    <row r="29" spans="1:7" ht="15">
      <c r="A29" s="5"/>
      <c r="B29" s="2"/>
      <c r="C29" s="2"/>
      <c r="D29" s="2"/>
      <c r="E29" s="2"/>
      <c r="F29" s="2"/>
      <c r="G29" s="13" t="str">
        <f>IF(A29="","",IF(COUNTIF($A$12:A29,A29)&gt;1,"",IF(COUNTIFS($A$12:$A$111,A29,$C$12:$C$111,"Completed")=COUNTIF($A$12:$A$111,A29),"Completed","Incomplete")))</f>
        <v/>
      </c>
    </row>
    <row r="30" spans="1:7" ht="15">
      <c r="A30" s="5"/>
      <c r="B30" s="2"/>
      <c r="C30" s="2"/>
      <c r="D30" s="2"/>
      <c r="E30" s="2"/>
      <c r="F30" s="2"/>
      <c r="G30" s="13" t="str">
        <f>IF(A30="","",IF(COUNTIF($A$12:A30,A30)&gt;1,"",IF(COUNTIFS($A$12:$A$111,A30,$C$12:$C$111,"Completed")=COUNTIF($A$12:$A$111,A30),"Completed","Incomplete")))</f>
        <v/>
      </c>
    </row>
    <row r="31" spans="1:7" ht="15">
      <c r="A31" s="5"/>
      <c r="B31" s="2"/>
      <c r="C31" s="2"/>
      <c r="D31" s="2"/>
      <c r="E31" s="2"/>
      <c r="F31" s="2"/>
      <c r="G31" s="13" t="str">
        <f>IF(A31="","",IF(COUNTIF($A$12:A31,A31)&gt;1,"",IF(COUNTIFS($A$12:$A$111,A31,$C$12:$C$111,"Completed")=COUNTIF($A$12:$A$111,A31),"Completed","Incomplete")))</f>
        <v/>
      </c>
    </row>
    <row r="32" spans="1:7" ht="15">
      <c r="A32" s="5"/>
      <c r="B32" s="2"/>
      <c r="C32" s="2"/>
      <c r="D32" s="2"/>
      <c r="E32" s="2"/>
      <c r="F32" s="2"/>
      <c r="G32" s="13" t="str">
        <f>IF(A32="","",IF(COUNTIF($A$12:A32,A32)&gt;1,"",IF(COUNTIFS($A$12:$A$111,A32,$C$12:$C$111,"Completed")=COUNTIF($A$12:$A$111,A32),"Completed","Incomplete")))</f>
        <v/>
      </c>
    </row>
    <row r="33" spans="1:7" ht="15">
      <c r="A33" s="5"/>
      <c r="B33" s="2"/>
      <c r="C33" s="2"/>
      <c r="D33" s="2"/>
      <c r="E33" s="2"/>
      <c r="F33" s="2"/>
      <c r="G33" s="13" t="str">
        <f>IF(A33="","",IF(COUNTIF($A$12:A33,A33)&gt;1,"",IF(COUNTIFS($A$12:$A$111,A33,$C$12:$C$111,"Completed")=COUNTIF($A$12:$A$111,A33),"Completed","Incomplete")))</f>
        <v/>
      </c>
    </row>
    <row r="34" spans="1:7" ht="15">
      <c r="A34" s="5"/>
      <c r="B34" s="2"/>
      <c r="C34" s="2"/>
      <c r="D34" s="2"/>
      <c r="E34" s="2"/>
      <c r="F34" s="2"/>
      <c r="G34" s="13" t="str">
        <f>IF(A34="","",IF(COUNTIF($A$12:A34,A34)&gt;1,"",IF(COUNTIFS($A$12:$A$111,A34,$C$12:$C$111,"Completed")=COUNTIF($A$12:$A$111,A34),"Completed","Incomplete")))</f>
        <v/>
      </c>
    </row>
    <row r="35" spans="1:7" ht="15">
      <c r="A35" s="5"/>
      <c r="B35" s="2"/>
      <c r="C35" s="2"/>
      <c r="D35" s="2"/>
      <c r="E35" s="2"/>
      <c r="F35" s="2"/>
      <c r="G35" s="13" t="str">
        <f>IF(A35="","",IF(COUNTIF($A$12:A35,A35)&gt;1,"",IF(COUNTIFS($A$12:$A$111,A35,$C$12:$C$111,"Completed")=COUNTIF($A$12:$A$111,A35),"Completed","Incomplete")))</f>
        <v/>
      </c>
    </row>
    <row r="36" spans="1:7" ht="15">
      <c r="A36" s="5"/>
      <c r="B36" s="2"/>
      <c r="C36" s="2"/>
      <c r="D36" s="2"/>
      <c r="E36" s="2"/>
      <c r="F36" s="2"/>
      <c r="G36" s="13" t="str">
        <f>IF(A36="","",IF(COUNTIF($A$12:A36,A36)&gt;1,"",IF(COUNTIFS($A$12:$A$111,A36,$C$12:$C$111,"Completed")=COUNTIF($A$12:$A$111,A36),"Completed","Incomplete")))</f>
        <v/>
      </c>
    </row>
    <row r="37" spans="1:7" ht="15">
      <c r="A37" s="5"/>
      <c r="B37" s="2"/>
      <c r="C37" s="2"/>
      <c r="D37" s="2"/>
      <c r="E37" s="2"/>
      <c r="F37" s="2"/>
      <c r="G37" s="13" t="str">
        <f>IF(A37="","",IF(COUNTIF($A$12:A37,A37)&gt;1,"",IF(COUNTIFS($A$12:$A$111,A37,$C$12:$C$111,"Completed")=COUNTIF($A$12:$A$111,A37),"Completed","Incomplete")))</f>
        <v/>
      </c>
    </row>
    <row r="38" spans="1:7" ht="15">
      <c r="A38" s="5"/>
      <c r="B38" s="2"/>
      <c r="C38" s="2"/>
      <c r="D38" s="2"/>
      <c r="E38" s="2"/>
      <c r="F38" s="2"/>
      <c r="G38" s="13" t="str">
        <f>IF(A38="","",IF(COUNTIF($A$12:A38,A38)&gt;1,"",IF(COUNTIFS($A$12:$A$111,A38,$C$12:$C$111,"Completed")=COUNTIF($A$12:$A$111,A38),"Completed","Incomplete")))</f>
        <v/>
      </c>
    </row>
    <row r="39" spans="1:7" ht="15">
      <c r="A39" s="5"/>
      <c r="B39" s="2"/>
      <c r="C39" s="2"/>
      <c r="D39" s="2"/>
      <c r="E39" s="2"/>
      <c r="F39" s="2"/>
      <c r="G39" s="13" t="str">
        <f>IF(A39="","",IF(COUNTIF($A$12:A39,A39)&gt;1,"",IF(COUNTIFS($A$12:$A$111,A39,$C$12:$C$111,"Completed")=COUNTIF($A$12:$A$111,A39),"Completed","Incomplete")))</f>
        <v/>
      </c>
    </row>
    <row r="40" spans="1:7" ht="15">
      <c r="A40" s="5"/>
      <c r="B40" s="2"/>
      <c r="C40" s="2"/>
      <c r="D40" s="2"/>
      <c r="E40" s="2"/>
      <c r="F40" s="2"/>
      <c r="G40" s="13" t="str">
        <f>IF(A40="","",IF(COUNTIF($A$12:A40,A40)&gt;1,"",IF(COUNTIFS($A$12:$A$111,A40,$C$12:$C$111,"Completed")=COUNTIF($A$12:$A$111,A40),"Completed","Incomplete")))</f>
        <v/>
      </c>
    </row>
    <row r="41" spans="1:7" ht="15">
      <c r="A41" s="5"/>
      <c r="B41" s="2"/>
      <c r="C41" s="2"/>
      <c r="D41" s="2"/>
      <c r="E41" s="2"/>
      <c r="F41" s="2"/>
      <c r="G41" s="13" t="str">
        <f>IF(A41="","",IF(COUNTIF($A$12:A41,A41)&gt;1,"",IF(COUNTIFS($A$12:$A$111,A41,$C$12:$C$111,"Completed")=COUNTIF($A$12:$A$111,A41),"Completed","Incomplete")))</f>
        <v/>
      </c>
    </row>
    <row r="42" spans="1:7" ht="15">
      <c r="A42" s="5"/>
      <c r="B42" s="2"/>
      <c r="C42" s="2"/>
      <c r="D42" s="2"/>
      <c r="E42" s="2"/>
      <c r="F42" s="2"/>
      <c r="G42" s="13" t="str">
        <f>IF(A42="","",IF(COUNTIF($A$12:A42,A42)&gt;1,"",IF(COUNTIFS($A$12:$A$111,A42,$C$12:$C$111,"Completed")=COUNTIF($A$12:$A$111,A42),"Completed","Incomplete")))</f>
        <v/>
      </c>
    </row>
    <row r="43" spans="1:7" ht="15">
      <c r="A43" s="5"/>
      <c r="B43" s="2"/>
      <c r="C43" s="2"/>
      <c r="D43" s="2"/>
      <c r="E43" s="2"/>
      <c r="F43" s="2"/>
      <c r="G43" s="13" t="str">
        <f>IF(A43="","",IF(COUNTIF($A$12:A43,A43)&gt;1,"",IF(COUNTIFS($A$12:$A$111,A43,$C$12:$C$111,"Completed")=COUNTIF($A$12:$A$111,A43),"Completed","Incomplete")))</f>
        <v/>
      </c>
    </row>
    <row r="44" spans="1:7" ht="15">
      <c r="A44" s="5"/>
      <c r="B44" s="2"/>
      <c r="C44" s="2"/>
      <c r="D44" s="2"/>
      <c r="E44" s="2"/>
      <c r="F44" s="2"/>
      <c r="G44" s="13" t="str">
        <f>IF(A44="","",IF(COUNTIF($A$12:A44,A44)&gt;1,"",IF(COUNTIFS($A$12:$A$111,A44,$C$12:$C$111,"Completed")=COUNTIF($A$12:$A$111,A44),"Completed","Incomplete")))</f>
        <v/>
      </c>
    </row>
    <row r="45" spans="1:7" ht="15">
      <c r="A45" s="5"/>
      <c r="B45" s="2"/>
      <c r="C45" s="2"/>
      <c r="D45" s="2"/>
      <c r="E45" s="2"/>
      <c r="F45" s="2"/>
      <c r="G45" s="13" t="str">
        <f>IF(A45="","",IF(COUNTIF($A$12:A45,A45)&gt;1,"",IF(COUNTIFS($A$12:$A$111,A45,$C$12:$C$111,"Completed")=COUNTIF($A$12:$A$111,A45),"Completed","Incomplete")))</f>
        <v/>
      </c>
    </row>
    <row r="46" spans="1:7" ht="15">
      <c r="A46" s="5"/>
      <c r="B46" s="2"/>
      <c r="C46" s="2"/>
      <c r="D46" s="2"/>
      <c r="E46" s="2"/>
      <c r="F46" s="2"/>
      <c r="G46" s="13" t="str">
        <f>IF(A46="","",IF(COUNTIF($A$12:A46,A46)&gt;1,"",IF(COUNTIFS($A$12:$A$111,A46,$C$12:$C$111,"Completed")=COUNTIF($A$12:$A$111,A46),"Completed","Incomplete")))</f>
        <v/>
      </c>
    </row>
    <row r="47" spans="1:7" ht="15">
      <c r="A47" s="5"/>
      <c r="B47" s="2"/>
      <c r="C47" s="2"/>
      <c r="D47" s="2"/>
      <c r="E47" s="2"/>
      <c r="F47" s="2"/>
      <c r="G47" s="13" t="str">
        <f>IF(A47="","",IF(COUNTIF($A$12:A47,A47)&gt;1,"",IF(COUNTIFS($A$12:$A$111,A47,$C$12:$C$111,"Completed")=COUNTIF($A$12:$A$111,A47),"Completed","Incomplete")))</f>
        <v/>
      </c>
    </row>
    <row r="48" spans="1:7" ht="15">
      <c r="A48" s="5"/>
      <c r="B48" s="2"/>
      <c r="C48" s="2"/>
      <c r="D48" s="2"/>
      <c r="E48" s="2"/>
      <c r="F48" s="2"/>
      <c r="G48" s="13" t="str">
        <f>IF(A48="","",IF(COUNTIF($A$12:A48,A48)&gt;1,"",IF(COUNTIFS($A$12:$A$111,A48,$C$12:$C$111,"Completed")=COUNTIF($A$12:$A$111,A48),"Completed","Incomplete")))</f>
        <v/>
      </c>
    </row>
    <row r="49" spans="1:7" ht="15">
      <c r="A49" s="5"/>
      <c r="B49" s="2"/>
      <c r="C49" s="2"/>
      <c r="D49" s="2"/>
      <c r="E49" s="2"/>
      <c r="F49" s="2"/>
      <c r="G49" s="13" t="str">
        <f>IF(A49="","",IF(COUNTIF($A$12:A49,A49)&gt;1,"",IF(COUNTIFS($A$12:$A$111,A49,$C$12:$C$111,"Completed")=COUNTIF($A$12:$A$111,A49),"Completed","Incomplete")))</f>
        <v/>
      </c>
    </row>
    <row r="50" spans="1:7" ht="15">
      <c r="A50" s="5"/>
      <c r="B50" s="2"/>
      <c r="C50" s="2"/>
      <c r="D50" s="2"/>
      <c r="E50" s="2"/>
      <c r="F50" s="2"/>
      <c r="G50" s="13" t="str">
        <f>IF(A50="","",IF(COUNTIF($A$12:A50,A50)&gt;1,"",IF(COUNTIFS($A$12:$A$111,A50,$C$12:$C$111,"Completed")=COUNTIF($A$12:$A$111,A50),"Completed","Incomplete")))</f>
        <v/>
      </c>
    </row>
    <row r="51" spans="1:7" ht="15">
      <c r="A51" s="5"/>
      <c r="B51" s="2"/>
      <c r="C51" s="2"/>
      <c r="D51" s="2"/>
      <c r="E51" s="2"/>
      <c r="F51" s="2"/>
      <c r="G51" s="13" t="str">
        <f>IF(A51="","",IF(COUNTIF($A$12:A51,A51)&gt;1,"",IF(COUNTIFS($A$12:$A$111,A51,$C$12:$C$111,"Completed")=COUNTIF($A$12:$A$111,A51),"Completed","Incomplete")))</f>
        <v/>
      </c>
    </row>
    <row r="52" spans="1:7" ht="15">
      <c r="A52" s="5"/>
      <c r="B52" s="2"/>
      <c r="C52" s="2"/>
      <c r="D52" s="2"/>
      <c r="E52" s="2"/>
      <c r="F52" s="2"/>
      <c r="G52" s="13" t="str">
        <f>IF(A52="","",IF(COUNTIF($A$12:A52,A52)&gt;1,"",IF(COUNTIFS($A$12:$A$111,A52,$C$12:$C$111,"Completed")=COUNTIF($A$12:$A$111,A52),"Completed","Incomplete")))</f>
        <v/>
      </c>
    </row>
    <row r="53" spans="1:7" ht="15">
      <c r="A53" s="5"/>
      <c r="B53" s="2"/>
      <c r="C53" s="2"/>
      <c r="D53" s="2"/>
      <c r="E53" s="2"/>
      <c r="F53" s="2"/>
      <c r="G53" s="13" t="str">
        <f>IF(A53="","",IF(COUNTIF($A$12:A53,A53)&gt;1,"",IF(COUNTIFS($A$12:$A$111,A53,$C$12:$C$111,"Completed")=COUNTIF($A$12:$A$111,A53),"Completed","Incomplete")))</f>
        <v/>
      </c>
    </row>
    <row r="54" spans="1:7" ht="15">
      <c r="A54" s="5"/>
      <c r="B54" s="2"/>
      <c r="C54" s="2"/>
      <c r="D54" s="2"/>
      <c r="E54" s="2"/>
      <c r="F54" s="2"/>
      <c r="G54" s="13" t="str">
        <f>IF(A54="","",IF(COUNTIF($A$12:A54,A54)&gt;1,"",IF(COUNTIFS($A$12:$A$111,A54,$C$12:$C$111,"Completed")=COUNTIF($A$12:$A$111,A54),"Completed","Incomplete")))</f>
        <v/>
      </c>
    </row>
    <row r="55" spans="1:7" ht="15">
      <c r="A55" s="5"/>
      <c r="B55" s="2"/>
      <c r="C55" s="2"/>
      <c r="D55" s="2"/>
      <c r="E55" s="2"/>
      <c r="F55" s="2"/>
      <c r="G55" s="13" t="str">
        <f>IF(A55="","",IF(COUNTIF($A$12:A55,A55)&gt;1,"",IF(COUNTIFS($A$12:$A$111,A55,$C$12:$C$111,"Completed")=COUNTIF($A$12:$A$111,A55),"Completed","Incomplete")))</f>
        <v/>
      </c>
    </row>
    <row r="56" spans="1:7" ht="15">
      <c r="A56" s="5"/>
      <c r="B56" s="2"/>
      <c r="C56" s="2"/>
      <c r="D56" s="2"/>
      <c r="E56" s="2"/>
      <c r="F56" s="2"/>
      <c r="G56" s="13" t="str">
        <f>IF(A56="","",IF(COUNTIF($A$12:A56,A56)&gt;1,"",IF(COUNTIFS($A$12:$A$111,A56,$C$12:$C$111,"Completed")=COUNTIF($A$12:$A$111,A56),"Completed","Incomplete")))</f>
        <v/>
      </c>
    </row>
    <row r="57" spans="1:7" ht="15">
      <c r="A57" s="5"/>
      <c r="B57" s="2"/>
      <c r="C57" s="2"/>
      <c r="D57" s="2"/>
      <c r="E57" s="2"/>
      <c r="F57" s="2"/>
      <c r="G57" s="13" t="str">
        <f>IF(A57="","",IF(COUNTIF($A$12:A57,A57)&gt;1,"",IF(COUNTIFS($A$12:$A$111,A57,$C$12:$C$111,"Completed")=COUNTIF($A$12:$A$111,A57),"Completed","Incomplete")))</f>
        <v/>
      </c>
    </row>
    <row r="58" spans="1:7" ht="15">
      <c r="A58" s="5"/>
      <c r="B58" s="2"/>
      <c r="C58" s="2"/>
      <c r="D58" s="2"/>
      <c r="E58" s="2"/>
      <c r="F58" s="2"/>
      <c r="G58" s="13" t="str">
        <f>IF(A58="","",IF(COUNTIF($A$12:A58,A58)&gt;1,"",IF(COUNTIFS($A$12:$A$111,A58,$C$12:$C$111,"Completed")=COUNTIF($A$12:$A$111,A58),"Completed","Incomplete")))</f>
        <v/>
      </c>
    </row>
    <row r="59" spans="1:7" ht="15">
      <c r="A59" s="5"/>
      <c r="B59" s="2"/>
      <c r="C59" s="2"/>
      <c r="D59" s="2"/>
      <c r="E59" s="2"/>
      <c r="F59" s="2"/>
      <c r="G59" s="13" t="str">
        <f>IF(A59="","",IF(COUNTIF($A$12:A59,A59)&gt;1,"",IF(COUNTIFS($A$12:$A$111,A59,$C$12:$C$111,"Completed")=COUNTIF($A$12:$A$111,A59),"Completed","Incomplete")))</f>
        <v/>
      </c>
    </row>
    <row r="60" spans="1:7" ht="15">
      <c r="A60" s="5"/>
      <c r="B60" s="2"/>
      <c r="C60" s="2"/>
      <c r="D60" s="2"/>
      <c r="E60" s="2"/>
      <c r="F60" s="2"/>
      <c r="G60" s="13" t="str">
        <f>IF(A60="","",IF(COUNTIF($A$12:A60,A60)&gt;1,"",IF(COUNTIFS($A$12:$A$111,A60,$C$12:$C$111,"Completed")=COUNTIF($A$12:$A$111,A60),"Completed","Incomplete")))</f>
        <v/>
      </c>
    </row>
    <row r="61" spans="1:7" ht="15">
      <c r="A61" s="5"/>
      <c r="B61" s="2"/>
      <c r="C61" s="2"/>
      <c r="D61" s="2"/>
      <c r="E61" s="2"/>
      <c r="F61" s="2"/>
      <c r="G61" s="13" t="str">
        <f>IF(A61="","",IF(COUNTIF($A$12:A61,A61)&gt;1,"",IF(COUNTIFS($A$12:$A$111,A61,$C$12:$C$111,"Completed")=COUNTIF($A$12:$A$111,A61),"Completed","Incomplete")))</f>
        <v/>
      </c>
    </row>
    <row r="62" spans="1:7" ht="15">
      <c r="A62" s="5"/>
      <c r="B62" s="2"/>
      <c r="C62" s="2"/>
      <c r="D62" s="2"/>
      <c r="E62" s="2"/>
      <c r="F62" s="2"/>
      <c r="G62" s="13" t="str">
        <f>IF(A62="","",IF(COUNTIF($A$12:A62,A62)&gt;1,"",IF(COUNTIFS($A$12:$A$111,A62,$C$12:$C$111,"Completed")=COUNTIF($A$12:$A$111,A62),"Completed","Incomplete")))</f>
        <v/>
      </c>
    </row>
    <row r="63" spans="1:7" ht="15">
      <c r="A63" s="5"/>
      <c r="B63" s="2"/>
      <c r="C63" s="2"/>
      <c r="D63" s="2"/>
      <c r="E63" s="2"/>
      <c r="F63" s="2"/>
      <c r="G63" s="13" t="str">
        <f>IF(A63="","",IF(COUNTIF($A$12:A63,A63)&gt;1,"",IF(COUNTIFS($A$12:$A$111,A63,$C$12:$C$111,"Completed")=COUNTIF($A$12:$A$111,A63),"Completed","Incomplete")))</f>
        <v/>
      </c>
    </row>
    <row r="64" spans="1:7" ht="15">
      <c r="A64" s="5"/>
      <c r="B64" s="2"/>
      <c r="C64" s="2"/>
      <c r="D64" s="2"/>
      <c r="E64" s="2"/>
      <c r="F64" s="2"/>
      <c r="G64" s="13" t="str">
        <f>IF(A64="","",IF(COUNTIF($A$12:A64,A64)&gt;1,"",IF(COUNTIFS($A$12:$A$111,A64,$C$12:$C$111,"Completed")=COUNTIF($A$12:$A$111,A64),"Completed","Incomplete")))</f>
        <v/>
      </c>
    </row>
    <row r="65" spans="1:7" ht="15">
      <c r="A65" s="5"/>
      <c r="B65" s="2"/>
      <c r="C65" s="2"/>
      <c r="D65" s="2"/>
      <c r="E65" s="2"/>
      <c r="F65" s="2"/>
      <c r="G65" s="13" t="str">
        <f>IF(A65="","",IF(COUNTIF($A$12:A65,A65)&gt;1,"",IF(COUNTIFS($A$12:$A$111,A65,$C$12:$C$111,"Completed")=COUNTIF($A$12:$A$111,A65),"Completed","Incomplete")))</f>
        <v/>
      </c>
    </row>
    <row r="66" spans="1:7" ht="15">
      <c r="A66" s="5"/>
      <c r="B66" s="2"/>
      <c r="C66" s="2"/>
      <c r="D66" s="2"/>
      <c r="E66" s="2"/>
      <c r="F66" s="2"/>
      <c r="G66" s="13" t="str">
        <f>IF(A66="","",IF(COUNTIF($A$12:A66,A66)&gt;1,"",IF(COUNTIFS($A$12:$A$111,A66,$C$12:$C$111,"Completed")=COUNTIF($A$12:$A$111,A66),"Completed","Incomplete")))</f>
        <v/>
      </c>
    </row>
    <row r="67" spans="1:7" ht="15">
      <c r="A67" s="5"/>
      <c r="B67" s="2"/>
      <c r="C67" s="2"/>
      <c r="D67" s="2"/>
      <c r="E67" s="2"/>
      <c r="F67" s="2"/>
      <c r="G67" s="13" t="str">
        <f>IF(A67="","",IF(COUNTIF($A$12:A67,A67)&gt;1,"",IF(COUNTIFS($A$12:$A$111,A67,$C$12:$C$111,"Completed")=COUNTIF($A$12:$A$111,A67),"Completed","Incomplete")))</f>
        <v/>
      </c>
    </row>
    <row r="68" spans="1:7" ht="15">
      <c r="A68" s="5"/>
      <c r="B68" s="2"/>
      <c r="C68" s="2"/>
      <c r="D68" s="2"/>
      <c r="E68" s="2"/>
      <c r="F68" s="2"/>
      <c r="G68" s="13" t="str">
        <f>IF(A68="","",IF(COUNTIF($A$12:A68,A68)&gt;1,"",IF(COUNTIFS($A$12:$A$111,A68,$C$12:$C$111,"Completed")=COUNTIF($A$12:$A$111,A68),"Completed","Incomplete")))</f>
        <v/>
      </c>
    </row>
    <row r="69" spans="1:7" ht="15">
      <c r="A69" s="5"/>
      <c r="B69" s="2"/>
      <c r="C69" s="2"/>
      <c r="D69" s="2"/>
      <c r="E69" s="2"/>
      <c r="F69" s="2"/>
      <c r="G69" s="13" t="str">
        <f>IF(A69="","",IF(COUNTIF($A$12:A69,A69)&gt;1,"",IF(COUNTIFS($A$12:$A$111,A69,$C$12:$C$111,"Completed")=COUNTIF($A$12:$A$111,A69),"Completed","Incomplete")))</f>
        <v/>
      </c>
    </row>
    <row r="70" spans="1:7" ht="15">
      <c r="A70" s="5"/>
      <c r="B70" s="2"/>
      <c r="C70" s="2"/>
      <c r="D70" s="2"/>
      <c r="E70" s="2"/>
      <c r="F70" s="2"/>
      <c r="G70" s="13" t="str">
        <f>IF(A70="","",IF(COUNTIF($A$12:A70,A70)&gt;1,"",IF(COUNTIFS($A$12:$A$111,A70,$C$12:$C$111,"Completed")=COUNTIF($A$12:$A$111,A70),"Completed","Incomplete")))</f>
        <v/>
      </c>
    </row>
    <row r="71" spans="1:7" ht="15">
      <c r="A71" s="5"/>
      <c r="B71" s="2"/>
      <c r="C71" s="2"/>
      <c r="D71" s="2"/>
      <c r="E71" s="2"/>
      <c r="F71" s="2"/>
      <c r="G71" s="13" t="str">
        <f>IF(A71="","",IF(COUNTIF($A$12:A71,A71)&gt;1,"",IF(COUNTIFS($A$12:$A$111,A71,$C$12:$C$111,"Completed")=COUNTIF($A$12:$A$111,A71),"Completed","Incomplete")))</f>
        <v/>
      </c>
    </row>
    <row r="72" spans="1:7" ht="15">
      <c r="A72" s="5"/>
      <c r="B72" s="2"/>
      <c r="C72" s="2"/>
      <c r="D72" s="2"/>
      <c r="E72" s="2"/>
      <c r="F72" s="2"/>
      <c r="G72" s="13" t="str">
        <f>IF(A72="","",IF(COUNTIF($A$12:A72,A72)&gt;1,"",IF(COUNTIFS($A$12:$A$111,A72,$C$12:$C$111,"Completed")=COUNTIF($A$12:$A$111,A72),"Completed","Incomplete")))</f>
        <v/>
      </c>
    </row>
    <row r="73" spans="1:7" ht="15">
      <c r="A73" s="5"/>
      <c r="B73" s="2"/>
      <c r="C73" s="2"/>
      <c r="D73" s="2"/>
      <c r="E73" s="2"/>
      <c r="F73" s="2"/>
      <c r="G73" s="13" t="str">
        <f>IF(A73="","",IF(COUNTIF($A$12:A73,A73)&gt;1,"",IF(COUNTIFS($A$12:$A$111,A73,$C$12:$C$111,"Completed")=COUNTIF($A$12:$A$111,A73),"Completed","Incomplete")))</f>
        <v/>
      </c>
    </row>
    <row r="74" spans="1:7" ht="15">
      <c r="A74" s="5"/>
      <c r="B74" s="2"/>
      <c r="C74" s="2"/>
      <c r="D74" s="2"/>
      <c r="E74" s="2"/>
      <c r="F74" s="2"/>
      <c r="G74" s="13" t="str">
        <f>IF(A74="","",IF(COUNTIF($A$12:A74,A74)&gt;1,"",IF(COUNTIFS($A$12:$A$111,A74,$C$12:$C$111,"Completed")=COUNTIF($A$12:$A$111,A74),"Completed","Incomplete")))</f>
        <v/>
      </c>
    </row>
    <row r="75" spans="1:7" ht="15">
      <c r="A75" s="5"/>
      <c r="B75" s="2"/>
      <c r="C75" s="2"/>
      <c r="D75" s="2"/>
      <c r="E75" s="2"/>
      <c r="F75" s="2"/>
      <c r="G75" s="13" t="str">
        <f>IF(A75="","",IF(COUNTIF($A$12:A75,A75)&gt;1,"",IF(COUNTIFS($A$12:$A$111,A75,$C$12:$C$111,"Completed")=COUNTIF($A$12:$A$111,A75),"Completed","Incomplete")))</f>
        <v/>
      </c>
    </row>
    <row r="76" spans="1:7" ht="15">
      <c r="A76" s="5"/>
      <c r="B76" s="2"/>
      <c r="C76" s="2"/>
      <c r="D76" s="2"/>
      <c r="E76" s="2"/>
      <c r="F76" s="2"/>
      <c r="G76" s="13" t="str">
        <f>IF(A76="","",IF(COUNTIF($A$12:A76,A76)&gt;1,"",IF(COUNTIFS($A$12:$A$111,A76,$C$12:$C$111,"Completed")=COUNTIF($A$12:$A$111,A76),"Completed","Incomplete")))</f>
        <v/>
      </c>
    </row>
    <row r="77" spans="1:7" ht="15">
      <c r="A77" s="5"/>
      <c r="B77" s="2"/>
      <c r="C77" s="2"/>
      <c r="D77" s="2"/>
      <c r="E77" s="2"/>
      <c r="F77" s="2"/>
      <c r="G77" s="13" t="str">
        <f>IF(A77="","",IF(COUNTIF($A$12:A77,A77)&gt;1,"",IF(COUNTIFS($A$12:$A$111,A77,$C$12:$C$111,"Completed")=COUNTIF($A$12:$A$111,A77),"Completed","Incomplete")))</f>
        <v/>
      </c>
    </row>
    <row r="78" spans="1:7" ht="15">
      <c r="A78" s="5"/>
      <c r="B78" s="2"/>
      <c r="C78" s="2"/>
      <c r="D78" s="2"/>
      <c r="E78" s="2"/>
      <c r="F78" s="2"/>
      <c r="G78" s="13" t="str">
        <f>IF(A78="","",IF(COUNTIF($A$12:A78,A78)&gt;1,"",IF(COUNTIFS($A$12:$A$111,A78,$C$12:$C$111,"Completed")=COUNTIF($A$12:$A$111,A78),"Completed","Incomplete")))</f>
        <v/>
      </c>
    </row>
    <row r="79" spans="1:7" ht="15">
      <c r="A79" s="5"/>
      <c r="B79" s="2"/>
      <c r="C79" s="2"/>
      <c r="D79" s="2"/>
      <c r="E79" s="2"/>
      <c r="F79" s="2"/>
      <c r="G79" s="13" t="str">
        <f>IF(A79="","",IF(COUNTIF($A$12:A79,A79)&gt;1,"",IF(COUNTIFS($A$12:$A$111,A79,$C$12:$C$111,"Completed")=COUNTIF($A$12:$A$111,A79),"Completed","Incomplete")))</f>
        <v/>
      </c>
    </row>
    <row r="80" spans="1:7" ht="15">
      <c r="A80" s="5"/>
      <c r="B80" s="2"/>
      <c r="C80" s="2"/>
      <c r="D80" s="2"/>
      <c r="E80" s="2"/>
      <c r="F80" s="2"/>
      <c r="G80" s="13" t="str">
        <f>IF(A80="","",IF(COUNTIF($A$12:A80,A80)&gt;1,"",IF(COUNTIFS($A$12:$A$111,A80,$C$12:$C$111,"Completed")=COUNTIF($A$12:$A$111,A80),"Completed","Incomplete")))</f>
        <v/>
      </c>
    </row>
    <row r="81" spans="1:7" ht="15">
      <c r="A81" s="5"/>
      <c r="B81" s="2"/>
      <c r="C81" s="2"/>
      <c r="D81" s="2"/>
      <c r="E81" s="2"/>
      <c r="F81" s="2"/>
      <c r="G81" s="13" t="str">
        <f>IF(A81="","",IF(COUNTIF($A$12:A81,A81)&gt;1,"",IF(COUNTIFS($A$12:$A$111,A81,$C$12:$C$111,"Completed")=COUNTIF($A$12:$A$111,A81),"Completed","Incomplete")))</f>
        <v/>
      </c>
    </row>
    <row r="82" spans="1:7" ht="15">
      <c r="A82" s="5"/>
      <c r="B82" s="2"/>
      <c r="C82" s="2"/>
      <c r="D82" s="2"/>
      <c r="E82" s="2"/>
      <c r="F82" s="2"/>
      <c r="G82" s="13" t="str">
        <f>IF(A82="","",IF(COUNTIF($A$12:A82,A82)&gt;1,"",IF(COUNTIFS($A$12:$A$111,A82,$C$12:$C$111,"Completed")=COUNTIF($A$12:$A$111,A82),"Completed","Incomplete")))</f>
        <v/>
      </c>
    </row>
    <row r="83" spans="1:7" ht="15">
      <c r="A83" s="5"/>
      <c r="B83" s="2"/>
      <c r="C83" s="2"/>
      <c r="D83" s="2"/>
      <c r="E83" s="2"/>
      <c r="F83" s="2"/>
      <c r="G83" s="13" t="str">
        <f>IF(A83="","",IF(COUNTIF($A$12:A83,A83)&gt;1,"",IF(COUNTIFS($A$12:$A$111,A83,$C$12:$C$111,"Completed")=COUNTIF($A$12:$A$111,A83),"Completed","Incomplete")))</f>
        <v/>
      </c>
    </row>
    <row r="84" spans="1:7" ht="15">
      <c r="A84" s="5"/>
      <c r="B84" s="2"/>
      <c r="C84" s="2"/>
      <c r="D84" s="2"/>
      <c r="E84" s="2"/>
      <c r="F84" s="2"/>
      <c r="G84" s="13" t="str">
        <f>IF(A84="","",IF(COUNTIF($A$12:A84,A84)&gt;1,"",IF(COUNTIFS($A$12:$A$111,A84,$C$12:$C$111,"Completed")=COUNTIF($A$12:$A$111,A84),"Completed","Incomplete")))</f>
        <v/>
      </c>
    </row>
    <row r="85" spans="1:7" ht="15">
      <c r="A85" s="5"/>
      <c r="B85" s="2"/>
      <c r="C85" s="2"/>
      <c r="D85" s="2"/>
      <c r="E85" s="2"/>
      <c r="F85" s="2"/>
      <c r="G85" s="13" t="str">
        <f>IF(A85="","",IF(COUNTIF($A$12:A85,A85)&gt;1,"",IF(COUNTIFS($A$12:$A$111,A85,$C$12:$C$111,"Completed")=COUNTIF($A$12:$A$111,A85),"Completed","Incomplete")))</f>
        <v/>
      </c>
    </row>
    <row r="86" spans="1:7" ht="15">
      <c r="A86" s="5"/>
      <c r="B86" s="2"/>
      <c r="C86" s="2"/>
      <c r="D86" s="2"/>
      <c r="E86" s="2"/>
      <c r="F86" s="2"/>
      <c r="G86" s="13" t="str">
        <f>IF(A86="","",IF(COUNTIF($A$12:A86,A86)&gt;1,"",IF(COUNTIFS($A$12:$A$111,A86,$C$12:$C$111,"Completed")=COUNTIF($A$12:$A$111,A86),"Completed","Incomplete")))</f>
        <v/>
      </c>
    </row>
    <row r="87" spans="1:7" ht="15">
      <c r="A87" s="5"/>
      <c r="B87" s="2"/>
      <c r="C87" s="2"/>
      <c r="D87" s="2"/>
      <c r="E87" s="2"/>
      <c r="F87" s="2"/>
      <c r="G87" s="13" t="str">
        <f>IF(A87="","",IF(COUNTIF($A$12:A87,A87)&gt;1,"",IF(COUNTIFS($A$12:$A$111,A87,$C$12:$C$111,"Completed")=COUNTIF($A$12:$A$111,A87),"Completed","Incomplete")))</f>
        <v/>
      </c>
    </row>
    <row r="88" spans="1:7" ht="15">
      <c r="A88" s="5"/>
      <c r="B88" s="2"/>
      <c r="C88" s="2"/>
      <c r="D88" s="2"/>
      <c r="E88" s="2"/>
      <c r="F88" s="2"/>
      <c r="G88" s="13" t="str">
        <f>IF(A88="","",IF(COUNTIF($A$12:A88,A88)&gt;1,"",IF(COUNTIFS($A$12:$A$111,A88,$C$12:$C$111,"Completed")=COUNTIF($A$12:$A$111,A88),"Completed","Incomplete")))</f>
        <v/>
      </c>
    </row>
    <row r="89" spans="1:7" ht="15">
      <c r="A89" s="5"/>
      <c r="B89" s="2"/>
      <c r="C89" s="2"/>
      <c r="D89" s="2"/>
      <c r="E89" s="2"/>
      <c r="F89" s="2"/>
      <c r="G89" s="13" t="str">
        <f>IF(A89="","",IF(COUNTIF($A$12:A89,A89)&gt;1,"",IF(COUNTIFS($A$12:$A$111,A89,$C$12:$C$111,"Completed")=COUNTIF($A$12:$A$111,A89),"Completed","Incomplete")))</f>
        <v/>
      </c>
    </row>
    <row r="90" spans="1:7" ht="15">
      <c r="A90" s="5"/>
      <c r="B90" s="2"/>
      <c r="C90" s="2"/>
      <c r="D90" s="2"/>
      <c r="E90" s="2"/>
      <c r="F90" s="2"/>
      <c r="G90" s="13" t="str">
        <f>IF(A90="","",IF(COUNTIF($A$12:A90,A90)&gt;1,"",IF(COUNTIFS($A$12:$A$111,A90,$C$12:$C$111,"Completed")=COUNTIF($A$12:$A$111,A90),"Completed","Incomplete")))</f>
        <v/>
      </c>
    </row>
    <row r="91" spans="1:7" ht="15">
      <c r="A91" s="5"/>
      <c r="B91" s="2"/>
      <c r="C91" s="2"/>
      <c r="D91" s="2"/>
      <c r="E91" s="2"/>
      <c r="F91" s="2"/>
      <c r="G91" s="13" t="str">
        <f>IF(A91="","",IF(COUNTIF($A$12:A91,A91)&gt;1,"",IF(COUNTIFS($A$12:$A$111,A91,$C$12:$C$111,"Completed")=COUNTIF($A$12:$A$111,A91),"Completed","Incomplete")))</f>
        <v/>
      </c>
    </row>
    <row r="92" spans="1:7" ht="15">
      <c r="A92" s="5"/>
      <c r="B92" s="2"/>
      <c r="C92" s="2"/>
      <c r="D92" s="2"/>
      <c r="E92" s="2"/>
      <c r="F92" s="2"/>
      <c r="G92" s="13" t="str">
        <f>IF(A92="","",IF(COUNTIF($A$12:A92,A92)&gt;1,"",IF(COUNTIFS($A$12:$A$111,A92,$C$12:$C$111,"Completed")=COUNTIF($A$12:$A$111,A92),"Completed","Incomplete")))</f>
        <v/>
      </c>
    </row>
    <row r="93" spans="1:7" ht="15">
      <c r="A93" s="5"/>
      <c r="B93" s="2"/>
      <c r="C93" s="2"/>
      <c r="D93" s="2"/>
      <c r="E93" s="2"/>
      <c r="F93" s="2"/>
      <c r="G93" s="13" t="str">
        <f>IF(A93="","",IF(COUNTIF($A$12:A93,A93)&gt;1,"",IF(COUNTIFS($A$12:$A$111,A93,$C$12:$C$111,"Completed")=COUNTIF($A$12:$A$111,A93),"Completed","Incomplete")))</f>
        <v/>
      </c>
    </row>
    <row r="94" spans="1:7" ht="15">
      <c r="A94" s="5"/>
      <c r="B94" s="2"/>
      <c r="C94" s="2"/>
      <c r="D94" s="2"/>
      <c r="E94" s="2"/>
      <c r="F94" s="2"/>
      <c r="G94" s="13" t="str">
        <f>IF(A94="","",IF(COUNTIF($A$12:A94,A94)&gt;1,"",IF(COUNTIFS($A$12:$A$111,A94,$C$12:$C$111,"Completed")=COUNTIF($A$12:$A$111,A94),"Completed","Incomplete")))</f>
        <v/>
      </c>
    </row>
    <row r="95" spans="1:7" ht="15">
      <c r="A95" s="5"/>
      <c r="B95" s="2"/>
      <c r="C95" s="2"/>
      <c r="D95" s="2"/>
      <c r="E95" s="2"/>
      <c r="F95" s="2"/>
      <c r="G95" s="13" t="str">
        <f>IF(A95="","",IF(COUNTIF($A$12:A95,A95)&gt;1,"",IF(COUNTIFS($A$12:$A$111,A95,$C$12:$C$111,"Completed")=COUNTIF($A$12:$A$111,A95),"Completed","Incomplete")))</f>
        <v/>
      </c>
    </row>
    <row r="96" spans="1:7" ht="15">
      <c r="A96" s="5"/>
      <c r="B96" s="2"/>
      <c r="C96" s="2"/>
      <c r="D96" s="2"/>
      <c r="E96" s="2"/>
      <c r="F96" s="2"/>
      <c r="G96" s="13" t="str">
        <f>IF(A96="","",IF(COUNTIF($A$12:A96,A96)&gt;1,"",IF(COUNTIFS($A$12:$A$111,A96,$C$12:$C$111,"Completed")=COUNTIF($A$12:$A$111,A96),"Completed","Incomplete")))</f>
        <v/>
      </c>
    </row>
    <row r="97" spans="1:7" ht="15">
      <c r="A97" s="5"/>
      <c r="B97" s="2"/>
      <c r="C97" s="2"/>
      <c r="D97" s="2"/>
      <c r="E97" s="2"/>
      <c r="F97" s="2"/>
      <c r="G97" s="13" t="str">
        <f>IF(A97="","",IF(COUNTIF($A$12:A97,A97)&gt;1,"",IF(COUNTIFS($A$12:$A$111,A97,$C$12:$C$111,"Completed")=COUNTIF($A$12:$A$111,A97),"Completed","Incomplete")))</f>
        <v/>
      </c>
    </row>
    <row r="98" spans="1:7" ht="15">
      <c r="A98" s="5"/>
      <c r="B98" s="2"/>
      <c r="C98" s="2"/>
      <c r="D98" s="2"/>
      <c r="E98" s="2"/>
      <c r="F98" s="2"/>
      <c r="G98" s="13" t="str">
        <f>IF(A98="","",IF(COUNTIF($A$12:A98,A98)&gt;1,"",IF(COUNTIFS($A$12:$A$111,A98,$C$12:$C$111,"Completed")=COUNTIF($A$12:$A$111,A98),"Completed","Incomplete")))</f>
        <v/>
      </c>
    </row>
    <row r="99" spans="1:7" ht="15">
      <c r="A99" s="5"/>
      <c r="B99" s="2"/>
      <c r="C99" s="2"/>
      <c r="D99" s="2"/>
      <c r="E99" s="2"/>
      <c r="F99" s="2"/>
      <c r="G99" s="13" t="str">
        <f>IF(A99="","",IF(COUNTIF($A$12:A99,A99)&gt;1,"",IF(COUNTIFS($A$12:$A$111,A99,$C$12:$C$111,"Completed")=COUNTIF($A$12:$A$111,A99),"Completed","Incomplete")))</f>
        <v/>
      </c>
    </row>
    <row r="100" spans="1:7" ht="15">
      <c r="A100" s="5"/>
      <c r="B100" s="2"/>
      <c r="C100" s="2"/>
      <c r="D100" s="2"/>
      <c r="E100" s="2"/>
      <c r="F100" s="2"/>
      <c r="G100" s="13" t="str">
        <f>IF(A100="","",IF(COUNTIF($A$12:A100,A100)&gt;1,"",IF(COUNTIFS($A$12:$A$111,A100,$C$12:$C$111,"Completed")=COUNTIF($A$12:$A$111,A100),"Completed","Incomplete")))</f>
        <v/>
      </c>
    </row>
    <row r="101" spans="1:7" ht="15">
      <c r="A101" s="5"/>
      <c r="B101" s="2"/>
      <c r="C101" s="2"/>
      <c r="D101" s="2"/>
      <c r="E101" s="2"/>
      <c r="F101" s="2"/>
      <c r="G101" s="13" t="str">
        <f>IF(A101="","",IF(COUNTIF($A$12:A101,A101)&gt;1,"",IF(COUNTIFS($A$12:$A$111,A101,$C$12:$C$111,"Completed")=COUNTIF($A$12:$A$111,A101),"Completed","Incomplete")))</f>
        <v/>
      </c>
    </row>
    <row r="102" spans="1:7" ht="15">
      <c r="A102" s="5"/>
      <c r="B102" s="2"/>
      <c r="C102" s="2"/>
      <c r="D102" s="2"/>
      <c r="E102" s="2"/>
      <c r="F102" s="2"/>
      <c r="G102" s="13" t="str">
        <f>IF(A102="","",IF(COUNTIF($A$12:A102,A102)&gt;1,"",IF(COUNTIFS($A$12:$A$111,A102,$C$12:$C$111,"Completed")=COUNTIF($A$12:$A$111,A102),"Completed","Incomplete")))</f>
        <v/>
      </c>
    </row>
    <row r="103" spans="1:7" ht="15">
      <c r="A103" s="5"/>
      <c r="B103" s="2"/>
      <c r="C103" s="2"/>
      <c r="D103" s="2"/>
      <c r="E103" s="2"/>
      <c r="F103" s="2"/>
      <c r="G103" s="13" t="str">
        <f>IF(A103="","",IF(COUNTIF($A$12:A103,A103)&gt;1,"",IF(COUNTIFS($A$12:$A$111,A103,$C$12:$C$111,"Completed")=COUNTIF($A$12:$A$111,A103),"Completed","Incomplete")))</f>
        <v/>
      </c>
    </row>
    <row r="104" spans="1:7" ht="15">
      <c r="A104" s="5"/>
      <c r="B104" s="2"/>
      <c r="C104" s="2"/>
      <c r="D104" s="2"/>
      <c r="E104" s="2"/>
      <c r="F104" s="2"/>
      <c r="G104" s="13" t="str">
        <f>IF(A104="","",IF(COUNTIF($A$12:A104,A104)&gt;1,"",IF(COUNTIFS($A$12:$A$111,A104,$C$12:$C$111,"Completed")=COUNTIF($A$12:$A$111,A104),"Completed","Incomplete")))</f>
        <v/>
      </c>
    </row>
    <row r="105" spans="1:7" ht="15">
      <c r="A105" s="5"/>
      <c r="B105" s="2"/>
      <c r="C105" s="2"/>
      <c r="D105" s="2"/>
      <c r="E105" s="2"/>
      <c r="F105" s="2"/>
      <c r="G105" s="13" t="str">
        <f>IF(A105="","",IF(COUNTIF($A$12:A105,A105)&gt;1,"",IF(COUNTIFS($A$12:$A$111,A105,$C$12:$C$111,"Completed")=COUNTIF($A$12:$A$111,A105),"Completed","Incomplete")))</f>
        <v/>
      </c>
    </row>
    <row r="106" spans="1:7" ht="15">
      <c r="A106" s="5"/>
      <c r="B106" s="2"/>
      <c r="C106" s="2"/>
      <c r="D106" s="2"/>
      <c r="E106" s="2"/>
      <c r="F106" s="2"/>
      <c r="G106" s="13" t="str">
        <f>IF(A106="","",IF(COUNTIF($A$12:A106,A106)&gt;1,"",IF(COUNTIFS($A$12:$A$111,A106,$C$12:$C$111,"Completed")=COUNTIF($A$12:$A$111,A106),"Completed","Incomplete")))</f>
        <v/>
      </c>
    </row>
    <row r="107" spans="1:7" ht="15">
      <c r="A107" s="5"/>
      <c r="B107" s="2"/>
      <c r="C107" s="2"/>
      <c r="D107" s="2"/>
      <c r="E107" s="2"/>
      <c r="F107" s="2"/>
      <c r="G107" s="13" t="str">
        <f>IF(A107="","",IF(COUNTIF($A$12:A107,A107)&gt;1,"",IF(COUNTIFS($A$12:$A$111,A107,$C$12:$C$111,"Completed")=COUNTIF($A$12:$A$111,A107),"Completed","Incomplete")))</f>
        <v/>
      </c>
    </row>
    <row r="108" spans="1:7" ht="15">
      <c r="A108" s="5"/>
      <c r="B108" s="2"/>
      <c r="C108" s="2"/>
      <c r="D108" s="2"/>
      <c r="E108" s="2"/>
      <c r="F108" s="2"/>
      <c r="G108" s="13" t="str">
        <f>IF(A108="","",IF(COUNTIF($A$12:A108,A108)&gt;1,"",IF(COUNTIFS($A$12:$A$111,A108,$C$12:$C$111,"Completed")=COUNTIF($A$12:$A$111,A108),"Completed","Incomplete")))</f>
        <v/>
      </c>
    </row>
    <row r="109" spans="1:7" ht="15">
      <c r="A109" s="5"/>
      <c r="B109" s="2"/>
      <c r="C109" s="2"/>
      <c r="D109" s="2"/>
      <c r="E109" s="2"/>
      <c r="F109" s="2"/>
      <c r="G109" s="13" t="str">
        <f>IF(A109="","",IF(COUNTIF($A$12:A109,A109)&gt;1,"",IF(COUNTIFS($A$12:$A$111,A109,$C$12:$C$111,"Completed")=COUNTIF($A$12:$A$111,A109),"Completed","Incomplete")))</f>
        <v/>
      </c>
    </row>
    <row r="110" spans="1:7" ht="15">
      <c r="A110" s="5"/>
      <c r="B110" s="2"/>
      <c r="C110" s="2"/>
      <c r="D110" s="2"/>
      <c r="E110" s="2"/>
      <c r="F110" s="2"/>
      <c r="G110" s="13" t="str">
        <f>IF(A110="","",IF(COUNTIF($A$12:A110,A110)&gt;1,"",IF(COUNTIFS($A$12:$A$111,A110,$C$12:$C$111,"Completed")=COUNTIF($A$12:$A$111,A110),"Completed","Incomplete")))</f>
        <v/>
      </c>
    </row>
    <row r="111" spans="1:7" ht="15">
      <c r="A111" s="6"/>
      <c r="B111" s="7"/>
      <c r="C111" s="7"/>
      <c r="D111" s="7"/>
      <c r="E111" s="7"/>
      <c r="F111" s="7"/>
      <c r="G111" s="14" t="str">
        <f>IF(A111="","",IF(COUNTIF($A$12:A111,A111)&gt;1,"",IF(COUNTIFS($A$12:$A$111,A111,$C$12:$C$111,"Completed")=COUNTIF($A$12:$A$111,A111),"Completed","Incomplete")))</f>
        <v/>
      </c>
    </row>
  </sheetData>
  <mergeCells count="4">
    <mergeCell ref="A1:G1"/>
    <mergeCell ref="A3:B3"/>
    <mergeCell ref="D3:F3"/>
    <mergeCell ref="A10:G10"/>
  </mergeCells>
  <conditionalFormatting sqref="C12:C111">
    <cfRule type="expression" dxfId="4" priority="1">
      <formula>C12="Completed"</formula>
    </cfRule>
    <cfRule type="expression" dxfId="3" priority="2">
      <formula>C12="Blocked"</formula>
    </cfRule>
    <cfRule type="expression" dxfId="2" priority="3">
      <formula>C12="Deferred"</formula>
    </cfRule>
  </conditionalFormatting>
  <conditionalFormatting sqref="G12:G111">
    <cfRule type="expression" dxfId="1" priority="4">
      <formula>G12="Completed"</formula>
    </cfRule>
    <cfRule type="expression" dxfId="0" priority="5">
      <formula>G12="Incomplete"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Lists!$A$2:$A$6</xm:f>
          </x14:formula1>
          <xm:sqref>C12:C111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B1" workbookViewId="0">
      <selection activeCell="G5" sqref="G5"/>
    </sheetView>
  </sheetViews>
  <sheetFormatPr defaultRowHeight="14.25"/>
  <cols>
    <col min="1" max="2" width="22" customWidth="1"/>
    <col min="3" max="3" width="34" customWidth="1"/>
    <col min="4" max="4" width="18" customWidth="1"/>
    <col min="5" max="5" width="38" customWidth="1"/>
    <col min="6" max="6" width="12" customWidth="1"/>
    <col min="7" max="7" width="15" customWidth="1"/>
    <col min="8" max="8" width="40" customWidth="1"/>
  </cols>
  <sheetData>
    <row r="1" spans="1:8" ht="30" customHeight="1">
      <c r="A1" s="18" t="s">
        <v>47</v>
      </c>
      <c r="B1" s="18"/>
      <c r="C1" s="18"/>
      <c r="D1" s="18"/>
      <c r="E1" s="18"/>
      <c r="F1" s="18"/>
      <c r="G1" s="18"/>
      <c r="H1" s="18"/>
    </row>
    <row r="2" spans="1:8" ht="33.950000000000003" customHeight="1">
      <c r="A2" s="20" t="s">
        <v>48</v>
      </c>
      <c r="B2" s="20"/>
      <c r="C2" s="20"/>
      <c r="D2" s="20"/>
      <c r="E2" s="20"/>
      <c r="F2" s="20"/>
      <c r="G2" s="20"/>
      <c r="H2" s="20"/>
    </row>
    <row r="3" spans="1:8">
      <c r="A3" s="8"/>
      <c r="B3" s="8"/>
      <c r="C3" s="8"/>
      <c r="D3" s="8"/>
      <c r="E3" s="8"/>
      <c r="F3" s="8"/>
      <c r="G3" s="8"/>
      <c r="H3" s="8"/>
    </row>
    <row r="4" spans="1:8" ht="38.1" customHeight="1">
      <c r="A4" s="1" t="s">
        <v>20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</row>
    <row r="5" spans="1:8" ht="28.5">
      <c r="A5" s="3" t="s">
        <v>35</v>
      </c>
      <c r="B5" s="4" t="s">
        <v>30</v>
      </c>
      <c r="C5" s="4" t="s">
        <v>56</v>
      </c>
      <c r="D5" s="4" t="s">
        <v>27</v>
      </c>
      <c r="E5" s="4" t="s">
        <v>57</v>
      </c>
      <c r="F5" s="4" t="s">
        <v>58</v>
      </c>
      <c r="G5" s="4" t="s">
        <v>59</v>
      </c>
      <c r="H5" s="15" t="s">
        <v>60</v>
      </c>
    </row>
    <row r="6" spans="1:8" ht="28.5">
      <c r="A6" s="5" t="s">
        <v>43</v>
      </c>
      <c r="B6" s="2" t="s">
        <v>37</v>
      </c>
      <c r="C6" s="2" t="s">
        <v>61</v>
      </c>
      <c r="D6" s="2" t="s">
        <v>41</v>
      </c>
      <c r="E6" s="2" t="s">
        <v>62</v>
      </c>
      <c r="F6" s="2" t="s">
        <v>63</v>
      </c>
      <c r="G6" s="2" t="s">
        <v>64</v>
      </c>
      <c r="H6" s="16" t="s">
        <v>65</v>
      </c>
    </row>
    <row r="7" spans="1:8">
      <c r="A7" s="5"/>
      <c r="B7" s="2"/>
      <c r="C7" s="2"/>
      <c r="D7" s="2"/>
      <c r="E7" s="2"/>
      <c r="F7" s="2"/>
      <c r="G7" s="2"/>
      <c r="H7" s="16"/>
    </row>
    <row r="8" spans="1:8">
      <c r="A8" s="5"/>
      <c r="B8" s="2"/>
      <c r="C8" s="2"/>
      <c r="D8" s="2"/>
      <c r="E8" s="2"/>
      <c r="F8" s="2"/>
      <c r="G8" s="2"/>
      <c r="H8" s="16"/>
    </row>
    <row r="9" spans="1:8">
      <c r="A9" s="5"/>
      <c r="B9" s="2"/>
      <c r="C9" s="2"/>
      <c r="D9" s="2"/>
      <c r="E9" s="2"/>
      <c r="F9" s="2"/>
      <c r="G9" s="2"/>
      <c r="H9" s="16"/>
    </row>
    <row r="10" spans="1:8">
      <c r="A10" s="5"/>
      <c r="B10" s="2"/>
      <c r="C10" s="2"/>
      <c r="D10" s="2"/>
      <c r="E10" s="2"/>
      <c r="F10" s="2"/>
      <c r="G10" s="2"/>
      <c r="H10" s="16"/>
    </row>
    <row r="11" spans="1:8">
      <c r="A11" s="5"/>
      <c r="B11" s="2"/>
      <c r="C11" s="2"/>
      <c r="D11" s="2"/>
      <c r="E11" s="2"/>
      <c r="F11" s="2"/>
      <c r="G11" s="2"/>
      <c r="H11" s="16"/>
    </row>
    <row r="12" spans="1:8">
      <c r="A12" s="5"/>
      <c r="B12" s="2"/>
      <c r="C12" s="2"/>
      <c r="D12" s="2"/>
      <c r="E12" s="2"/>
      <c r="F12" s="2"/>
      <c r="G12" s="2"/>
      <c r="H12" s="16"/>
    </row>
    <row r="13" spans="1:8">
      <c r="A13" s="5"/>
      <c r="B13" s="2"/>
      <c r="C13" s="2"/>
      <c r="D13" s="2"/>
      <c r="E13" s="2"/>
      <c r="F13" s="2"/>
      <c r="G13" s="2"/>
      <c r="H13" s="16"/>
    </row>
    <row r="14" spans="1:8">
      <c r="A14" s="5"/>
      <c r="B14" s="2"/>
      <c r="C14" s="2"/>
      <c r="D14" s="2"/>
      <c r="E14" s="2"/>
      <c r="F14" s="2"/>
      <c r="G14" s="2"/>
      <c r="H14" s="16"/>
    </row>
    <row r="15" spans="1:8">
      <c r="A15" s="5"/>
      <c r="B15" s="2"/>
      <c r="C15" s="2"/>
      <c r="D15" s="2"/>
      <c r="E15" s="2"/>
      <c r="F15" s="2"/>
      <c r="G15" s="2"/>
      <c r="H15" s="16"/>
    </row>
    <row r="16" spans="1:8">
      <c r="A16" s="5"/>
      <c r="B16" s="2"/>
      <c r="C16" s="2"/>
      <c r="D16" s="2"/>
      <c r="E16" s="2"/>
      <c r="F16" s="2"/>
      <c r="G16" s="2"/>
      <c r="H16" s="16"/>
    </row>
    <row r="17" spans="1:8">
      <c r="A17" s="5"/>
      <c r="B17" s="2"/>
      <c r="C17" s="2"/>
      <c r="D17" s="2"/>
      <c r="E17" s="2"/>
      <c r="F17" s="2"/>
      <c r="G17" s="2"/>
      <c r="H17" s="16"/>
    </row>
    <row r="18" spans="1:8">
      <c r="A18" s="5"/>
      <c r="B18" s="2"/>
      <c r="C18" s="2"/>
      <c r="D18" s="2"/>
      <c r="E18" s="2"/>
      <c r="F18" s="2"/>
      <c r="G18" s="2"/>
      <c r="H18" s="16"/>
    </row>
    <row r="19" spans="1:8">
      <c r="A19" s="5"/>
      <c r="B19" s="2"/>
      <c r="C19" s="2"/>
      <c r="D19" s="2"/>
      <c r="E19" s="2"/>
      <c r="F19" s="2"/>
      <c r="G19" s="2"/>
      <c r="H19" s="16"/>
    </row>
    <row r="20" spans="1:8">
      <c r="A20" s="5"/>
      <c r="B20" s="2"/>
      <c r="C20" s="2"/>
      <c r="D20" s="2"/>
      <c r="E20" s="2"/>
      <c r="F20" s="2"/>
      <c r="G20" s="2"/>
      <c r="H20" s="16"/>
    </row>
    <row r="21" spans="1:8">
      <c r="A21" s="5"/>
      <c r="B21" s="2"/>
      <c r="C21" s="2"/>
      <c r="D21" s="2"/>
      <c r="E21" s="2"/>
      <c r="F21" s="2"/>
      <c r="G21" s="2"/>
      <c r="H21" s="16"/>
    </row>
    <row r="22" spans="1:8">
      <c r="A22" s="5"/>
      <c r="B22" s="2"/>
      <c r="C22" s="2"/>
      <c r="D22" s="2"/>
      <c r="E22" s="2"/>
      <c r="F22" s="2"/>
      <c r="G22" s="2"/>
      <c r="H22" s="16"/>
    </row>
    <row r="23" spans="1:8">
      <c r="A23" s="5"/>
      <c r="B23" s="2"/>
      <c r="C23" s="2"/>
      <c r="D23" s="2"/>
      <c r="E23" s="2"/>
      <c r="F23" s="2"/>
      <c r="G23" s="2"/>
      <c r="H23" s="16"/>
    </row>
    <row r="24" spans="1:8">
      <c r="A24" s="5"/>
      <c r="B24" s="2"/>
      <c r="C24" s="2"/>
      <c r="D24" s="2"/>
      <c r="E24" s="2"/>
      <c r="F24" s="2"/>
      <c r="G24" s="2"/>
      <c r="H24" s="16"/>
    </row>
    <row r="25" spans="1:8">
      <c r="A25" s="5"/>
      <c r="B25" s="2"/>
      <c r="C25" s="2"/>
      <c r="D25" s="2"/>
      <c r="E25" s="2"/>
      <c r="F25" s="2"/>
      <c r="G25" s="2"/>
      <c r="H25" s="16"/>
    </row>
    <row r="26" spans="1:8">
      <c r="A26" s="5"/>
      <c r="B26" s="2"/>
      <c r="C26" s="2"/>
      <c r="D26" s="2"/>
      <c r="E26" s="2"/>
      <c r="F26" s="2"/>
      <c r="G26" s="2"/>
      <c r="H26" s="16"/>
    </row>
    <row r="27" spans="1:8">
      <c r="A27" s="5"/>
      <c r="B27" s="2"/>
      <c r="C27" s="2"/>
      <c r="D27" s="2"/>
      <c r="E27" s="2"/>
      <c r="F27" s="2"/>
      <c r="G27" s="2"/>
      <c r="H27" s="16"/>
    </row>
    <row r="28" spans="1:8">
      <c r="A28" s="5"/>
      <c r="B28" s="2"/>
      <c r="C28" s="2"/>
      <c r="D28" s="2"/>
      <c r="E28" s="2"/>
      <c r="F28" s="2"/>
      <c r="G28" s="2"/>
      <c r="H28" s="16"/>
    </row>
    <row r="29" spans="1:8">
      <c r="A29" s="5"/>
      <c r="B29" s="2"/>
      <c r="C29" s="2"/>
      <c r="D29" s="2"/>
      <c r="E29" s="2"/>
      <c r="F29" s="2"/>
      <c r="G29" s="2"/>
      <c r="H29" s="16"/>
    </row>
    <row r="30" spans="1:8">
      <c r="A30" s="5"/>
      <c r="B30" s="2"/>
      <c r="C30" s="2"/>
      <c r="D30" s="2"/>
      <c r="E30" s="2"/>
      <c r="F30" s="2"/>
      <c r="G30" s="2"/>
      <c r="H30" s="16"/>
    </row>
    <row r="31" spans="1:8">
      <c r="A31" s="5"/>
      <c r="B31" s="2"/>
      <c r="C31" s="2"/>
      <c r="D31" s="2"/>
      <c r="E31" s="2"/>
      <c r="F31" s="2"/>
      <c r="G31" s="2"/>
      <c r="H31" s="16"/>
    </row>
    <row r="32" spans="1:8">
      <c r="A32" s="5"/>
      <c r="B32" s="2"/>
      <c r="C32" s="2"/>
      <c r="D32" s="2"/>
      <c r="E32" s="2"/>
      <c r="F32" s="2"/>
      <c r="G32" s="2"/>
      <c r="H32" s="16"/>
    </row>
    <row r="33" spans="1:8">
      <c r="A33" s="5"/>
      <c r="B33" s="2"/>
      <c r="C33" s="2"/>
      <c r="D33" s="2"/>
      <c r="E33" s="2"/>
      <c r="F33" s="2"/>
      <c r="G33" s="2"/>
      <c r="H33" s="16"/>
    </row>
    <row r="34" spans="1:8">
      <c r="A34" s="5"/>
      <c r="B34" s="2"/>
      <c r="C34" s="2"/>
      <c r="D34" s="2"/>
      <c r="E34" s="2"/>
      <c r="F34" s="2"/>
      <c r="G34" s="2"/>
      <c r="H34" s="16"/>
    </row>
    <row r="35" spans="1:8">
      <c r="A35" s="5"/>
      <c r="B35" s="2"/>
      <c r="C35" s="2"/>
      <c r="D35" s="2"/>
      <c r="E35" s="2"/>
      <c r="F35" s="2"/>
      <c r="G35" s="2"/>
      <c r="H35" s="16"/>
    </row>
    <row r="36" spans="1:8">
      <c r="A36" s="5"/>
      <c r="B36" s="2"/>
      <c r="C36" s="2"/>
      <c r="D36" s="2"/>
      <c r="E36" s="2"/>
      <c r="F36" s="2"/>
      <c r="G36" s="2"/>
      <c r="H36" s="16"/>
    </row>
    <row r="37" spans="1:8">
      <c r="A37" s="5"/>
      <c r="B37" s="2"/>
      <c r="C37" s="2"/>
      <c r="D37" s="2"/>
      <c r="E37" s="2"/>
      <c r="F37" s="2"/>
      <c r="G37" s="2"/>
      <c r="H37" s="16"/>
    </row>
    <row r="38" spans="1:8">
      <c r="A38" s="5"/>
      <c r="B38" s="2"/>
      <c r="C38" s="2"/>
      <c r="D38" s="2"/>
      <c r="E38" s="2"/>
      <c r="F38" s="2"/>
      <c r="G38" s="2"/>
      <c r="H38" s="16"/>
    </row>
    <row r="39" spans="1:8">
      <c r="A39" s="5"/>
      <c r="B39" s="2"/>
      <c r="C39" s="2"/>
      <c r="D39" s="2"/>
      <c r="E39" s="2"/>
      <c r="F39" s="2"/>
      <c r="G39" s="2"/>
      <c r="H39" s="16"/>
    </row>
    <row r="40" spans="1:8">
      <c r="A40" s="5"/>
      <c r="B40" s="2"/>
      <c r="C40" s="2"/>
      <c r="D40" s="2"/>
      <c r="E40" s="2"/>
      <c r="F40" s="2"/>
      <c r="G40" s="2"/>
      <c r="H40" s="16"/>
    </row>
    <row r="41" spans="1:8">
      <c r="A41" s="5"/>
      <c r="B41" s="2"/>
      <c r="C41" s="2"/>
      <c r="D41" s="2"/>
      <c r="E41" s="2"/>
      <c r="F41" s="2"/>
      <c r="G41" s="2"/>
      <c r="H41" s="16"/>
    </row>
    <row r="42" spans="1:8">
      <c r="A42" s="5"/>
      <c r="B42" s="2"/>
      <c r="C42" s="2"/>
      <c r="D42" s="2"/>
      <c r="E42" s="2"/>
      <c r="F42" s="2"/>
      <c r="G42" s="2"/>
      <c r="H42" s="16"/>
    </row>
    <row r="43" spans="1:8">
      <c r="A43" s="5"/>
      <c r="B43" s="2"/>
      <c r="C43" s="2"/>
      <c r="D43" s="2"/>
      <c r="E43" s="2"/>
      <c r="F43" s="2"/>
      <c r="G43" s="2"/>
      <c r="H43" s="16"/>
    </row>
    <row r="44" spans="1:8">
      <c r="A44" s="5"/>
      <c r="B44" s="2"/>
      <c r="C44" s="2"/>
      <c r="D44" s="2"/>
      <c r="E44" s="2"/>
      <c r="F44" s="2"/>
      <c r="G44" s="2"/>
      <c r="H44" s="16"/>
    </row>
    <row r="45" spans="1:8">
      <c r="A45" s="5"/>
      <c r="B45" s="2"/>
      <c r="C45" s="2"/>
      <c r="D45" s="2"/>
      <c r="E45" s="2"/>
      <c r="F45" s="2"/>
      <c r="G45" s="2"/>
      <c r="H45" s="16"/>
    </row>
    <row r="46" spans="1:8">
      <c r="A46" s="5"/>
      <c r="B46" s="2"/>
      <c r="C46" s="2"/>
      <c r="D46" s="2"/>
      <c r="E46" s="2"/>
      <c r="F46" s="2"/>
      <c r="G46" s="2"/>
      <c r="H46" s="16"/>
    </row>
    <row r="47" spans="1:8">
      <c r="A47" s="5"/>
      <c r="B47" s="2"/>
      <c r="C47" s="2"/>
      <c r="D47" s="2"/>
      <c r="E47" s="2"/>
      <c r="F47" s="2"/>
      <c r="G47" s="2"/>
      <c r="H47" s="16"/>
    </row>
    <row r="48" spans="1:8">
      <c r="A48" s="5"/>
      <c r="B48" s="2"/>
      <c r="C48" s="2"/>
      <c r="D48" s="2"/>
      <c r="E48" s="2"/>
      <c r="F48" s="2"/>
      <c r="G48" s="2"/>
      <c r="H48" s="16"/>
    </row>
    <row r="49" spans="1:8">
      <c r="A49" s="5"/>
      <c r="B49" s="2"/>
      <c r="C49" s="2"/>
      <c r="D49" s="2"/>
      <c r="E49" s="2"/>
      <c r="F49" s="2"/>
      <c r="G49" s="2"/>
      <c r="H49" s="16"/>
    </row>
    <row r="50" spans="1:8">
      <c r="A50" s="5"/>
      <c r="B50" s="2"/>
      <c r="C50" s="2"/>
      <c r="D50" s="2"/>
      <c r="E50" s="2"/>
      <c r="F50" s="2"/>
      <c r="G50" s="2"/>
      <c r="H50" s="16"/>
    </row>
    <row r="51" spans="1:8">
      <c r="A51" s="5"/>
      <c r="B51" s="2"/>
      <c r="C51" s="2"/>
      <c r="D51" s="2"/>
      <c r="E51" s="2"/>
      <c r="F51" s="2"/>
      <c r="G51" s="2"/>
      <c r="H51" s="16"/>
    </row>
    <row r="52" spans="1:8">
      <c r="A52" s="5"/>
      <c r="B52" s="2"/>
      <c r="C52" s="2"/>
      <c r="D52" s="2"/>
      <c r="E52" s="2"/>
      <c r="F52" s="2"/>
      <c r="G52" s="2"/>
      <c r="H52" s="16"/>
    </row>
    <row r="53" spans="1:8">
      <c r="A53" s="5"/>
      <c r="B53" s="2"/>
      <c r="C53" s="2"/>
      <c r="D53" s="2"/>
      <c r="E53" s="2"/>
      <c r="F53" s="2"/>
      <c r="G53" s="2"/>
      <c r="H53" s="16"/>
    </row>
    <row r="54" spans="1:8">
      <c r="A54" s="5"/>
      <c r="B54" s="2"/>
      <c r="C54" s="2"/>
      <c r="D54" s="2"/>
      <c r="E54" s="2"/>
      <c r="F54" s="2"/>
      <c r="G54" s="2"/>
      <c r="H54" s="16"/>
    </row>
    <row r="55" spans="1:8">
      <c r="A55" s="5"/>
      <c r="B55" s="2"/>
      <c r="C55" s="2"/>
      <c r="D55" s="2"/>
      <c r="E55" s="2"/>
      <c r="F55" s="2"/>
      <c r="G55" s="2"/>
      <c r="H55" s="16"/>
    </row>
    <row r="56" spans="1:8">
      <c r="A56" s="5"/>
      <c r="B56" s="2"/>
      <c r="C56" s="2"/>
      <c r="D56" s="2"/>
      <c r="E56" s="2"/>
      <c r="F56" s="2"/>
      <c r="G56" s="2"/>
      <c r="H56" s="16"/>
    </row>
    <row r="57" spans="1:8">
      <c r="A57" s="5"/>
      <c r="B57" s="2"/>
      <c r="C57" s="2"/>
      <c r="D57" s="2"/>
      <c r="E57" s="2"/>
      <c r="F57" s="2"/>
      <c r="G57" s="2"/>
      <c r="H57" s="16"/>
    </row>
    <row r="58" spans="1:8">
      <c r="A58" s="5"/>
      <c r="B58" s="2"/>
      <c r="C58" s="2"/>
      <c r="D58" s="2"/>
      <c r="E58" s="2"/>
      <c r="F58" s="2"/>
      <c r="G58" s="2"/>
      <c r="H58" s="16"/>
    </row>
    <row r="59" spans="1:8">
      <c r="A59" s="5"/>
      <c r="B59" s="2"/>
      <c r="C59" s="2"/>
      <c r="D59" s="2"/>
      <c r="E59" s="2"/>
      <c r="F59" s="2"/>
      <c r="G59" s="2"/>
      <c r="H59" s="16"/>
    </row>
    <row r="60" spans="1:8">
      <c r="A60" s="5"/>
      <c r="B60" s="2"/>
      <c r="C60" s="2"/>
      <c r="D60" s="2"/>
      <c r="E60" s="2"/>
      <c r="F60" s="2"/>
      <c r="G60" s="2"/>
      <c r="H60" s="16"/>
    </row>
    <row r="61" spans="1:8">
      <c r="A61" s="5"/>
      <c r="B61" s="2"/>
      <c r="C61" s="2"/>
      <c r="D61" s="2"/>
      <c r="E61" s="2"/>
      <c r="F61" s="2"/>
      <c r="G61" s="2"/>
      <c r="H61" s="16"/>
    </row>
    <row r="62" spans="1:8">
      <c r="A62" s="5"/>
      <c r="B62" s="2"/>
      <c r="C62" s="2"/>
      <c r="D62" s="2"/>
      <c r="E62" s="2"/>
      <c r="F62" s="2"/>
      <c r="G62" s="2"/>
      <c r="H62" s="16"/>
    </row>
    <row r="63" spans="1:8">
      <c r="A63" s="5"/>
      <c r="B63" s="2"/>
      <c r="C63" s="2"/>
      <c r="D63" s="2"/>
      <c r="E63" s="2"/>
      <c r="F63" s="2"/>
      <c r="G63" s="2"/>
      <c r="H63" s="16"/>
    </row>
    <row r="64" spans="1:8">
      <c r="A64" s="5"/>
      <c r="B64" s="2"/>
      <c r="C64" s="2"/>
      <c r="D64" s="2"/>
      <c r="E64" s="2"/>
      <c r="F64" s="2"/>
      <c r="G64" s="2"/>
      <c r="H64" s="16"/>
    </row>
    <row r="65" spans="1:8">
      <c r="A65" s="5"/>
      <c r="B65" s="2"/>
      <c r="C65" s="2"/>
      <c r="D65" s="2"/>
      <c r="E65" s="2"/>
      <c r="F65" s="2"/>
      <c r="G65" s="2"/>
      <c r="H65" s="16"/>
    </row>
    <row r="66" spans="1:8">
      <c r="A66" s="5"/>
      <c r="B66" s="2"/>
      <c r="C66" s="2"/>
      <c r="D66" s="2"/>
      <c r="E66" s="2"/>
      <c r="F66" s="2"/>
      <c r="G66" s="2"/>
      <c r="H66" s="16"/>
    </row>
    <row r="67" spans="1:8">
      <c r="A67" s="5"/>
      <c r="B67" s="2"/>
      <c r="C67" s="2"/>
      <c r="D67" s="2"/>
      <c r="E67" s="2"/>
      <c r="F67" s="2"/>
      <c r="G67" s="2"/>
      <c r="H67" s="16"/>
    </row>
    <row r="68" spans="1:8">
      <c r="A68" s="5"/>
      <c r="B68" s="2"/>
      <c r="C68" s="2"/>
      <c r="D68" s="2"/>
      <c r="E68" s="2"/>
      <c r="F68" s="2"/>
      <c r="G68" s="2"/>
      <c r="H68" s="16"/>
    </row>
    <row r="69" spans="1:8">
      <c r="A69" s="5"/>
      <c r="B69" s="2"/>
      <c r="C69" s="2"/>
      <c r="D69" s="2"/>
      <c r="E69" s="2"/>
      <c r="F69" s="2"/>
      <c r="G69" s="2"/>
      <c r="H69" s="16"/>
    </row>
    <row r="70" spans="1:8">
      <c r="A70" s="5"/>
      <c r="B70" s="2"/>
      <c r="C70" s="2"/>
      <c r="D70" s="2"/>
      <c r="E70" s="2"/>
      <c r="F70" s="2"/>
      <c r="G70" s="2"/>
      <c r="H70" s="16"/>
    </row>
    <row r="71" spans="1:8">
      <c r="A71" s="5"/>
      <c r="B71" s="2"/>
      <c r="C71" s="2"/>
      <c r="D71" s="2"/>
      <c r="E71" s="2"/>
      <c r="F71" s="2"/>
      <c r="G71" s="2"/>
      <c r="H71" s="16"/>
    </row>
    <row r="72" spans="1:8">
      <c r="A72" s="5"/>
      <c r="B72" s="2"/>
      <c r="C72" s="2"/>
      <c r="D72" s="2"/>
      <c r="E72" s="2"/>
      <c r="F72" s="2"/>
      <c r="G72" s="2"/>
      <c r="H72" s="16"/>
    </row>
    <row r="73" spans="1:8">
      <c r="A73" s="5"/>
      <c r="B73" s="2"/>
      <c r="C73" s="2"/>
      <c r="D73" s="2"/>
      <c r="E73" s="2"/>
      <c r="F73" s="2"/>
      <c r="G73" s="2"/>
      <c r="H73" s="16"/>
    </row>
    <row r="74" spans="1:8">
      <c r="A74" s="5"/>
      <c r="B74" s="2"/>
      <c r="C74" s="2"/>
      <c r="D74" s="2"/>
      <c r="E74" s="2"/>
      <c r="F74" s="2"/>
      <c r="G74" s="2"/>
      <c r="H74" s="16"/>
    </row>
    <row r="75" spans="1:8">
      <c r="A75" s="5"/>
      <c r="B75" s="2"/>
      <c r="C75" s="2"/>
      <c r="D75" s="2"/>
      <c r="E75" s="2"/>
      <c r="F75" s="2"/>
      <c r="G75" s="2"/>
      <c r="H75" s="16"/>
    </row>
    <row r="76" spans="1:8">
      <c r="A76" s="5"/>
      <c r="B76" s="2"/>
      <c r="C76" s="2"/>
      <c r="D76" s="2"/>
      <c r="E76" s="2"/>
      <c r="F76" s="2"/>
      <c r="G76" s="2"/>
      <c r="H76" s="16"/>
    </row>
    <row r="77" spans="1:8">
      <c r="A77" s="5"/>
      <c r="B77" s="2"/>
      <c r="C77" s="2"/>
      <c r="D77" s="2"/>
      <c r="E77" s="2"/>
      <c r="F77" s="2"/>
      <c r="G77" s="2"/>
      <c r="H77" s="16"/>
    </row>
    <row r="78" spans="1:8">
      <c r="A78" s="5"/>
      <c r="B78" s="2"/>
      <c r="C78" s="2"/>
      <c r="D78" s="2"/>
      <c r="E78" s="2"/>
      <c r="F78" s="2"/>
      <c r="G78" s="2"/>
      <c r="H78" s="16"/>
    </row>
    <row r="79" spans="1:8">
      <c r="A79" s="5"/>
      <c r="B79" s="2"/>
      <c r="C79" s="2"/>
      <c r="D79" s="2"/>
      <c r="E79" s="2"/>
      <c r="F79" s="2"/>
      <c r="G79" s="2"/>
      <c r="H79" s="16"/>
    </row>
    <row r="80" spans="1:8">
      <c r="A80" s="5"/>
      <c r="B80" s="2"/>
      <c r="C80" s="2"/>
      <c r="D80" s="2"/>
      <c r="E80" s="2"/>
      <c r="F80" s="2"/>
      <c r="G80" s="2"/>
      <c r="H80" s="16"/>
    </row>
    <row r="81" spans="1:8">
      <c r="A81" s="5"/>
      <c r="B81" s="2"/>
      <c r="C81" s="2"/>
      <c r="D81" s="2"/>
      <c r="E81" s="2"/>
      <c r="F81" s="2"/>
      <c r="G81" s="2"/>
      <c r="H81" s="16"/>
    </row>
    <row r="82" spans="1:8">
      <c r="A82" s="5"/>
      <c r="B82" s="2"/>
      <c r="C82" s="2"/>
      <c r="D82" s="2"/>
      <c r="E82" s="2"/>
      <c r="F82" s="2"/>
      <c r="G82" s="2"/>
      <c r="H82" s="16"/>
    </row>
    <row r="83" spans="1:8">
      <c r="A83" s="5"/>
      <c r="B83" s="2"/>
      <c r="C83" s="2"/>
      <c r="D83" s="2"/>
      <c r="E83" s="2"/>
      <c r="F83" s="2"/>
      <c r="G83" s="2"/>
      <c r="H83" s="16"/>
    </row>
    <row r="84" spans="1:8">
      <c r="A84" s="5"/>
      <c r="B84" s="2"/>
      <c r="C84" s="2"/>
      <c r="D84" s="2"/>
      <c r="E84" s="2"/>
      <c r="F84" s="2"/>
      <c r="G84" s="2"/>
      <c r="H84" s="16"/>
    </row>
    <row r="85" spans="1:8">
      <c r="A85" s="5"/>
      <c r="B85" s="2"/>
      <c r="C85" s="2"/>
      <c r="D85" s="2"/>
      <c r="E85" s="2"/>
      <c r="F85" s="2"/>
      <c r="G85" s="2"/>
      <c r="H85" s="16"/>
    </row>
    <row r="86" spans="1:8">
      <c r="A86" s="5"/>
      <c r="B86" s="2"/>
      <c r="C86" s="2"/>
      <c r="D86" s="2"/>
      <c r="E86" s="2"/>
      <c r="F86" s="2"/>
      <c r="G86" s="2"/>
      <c r="H86" s="16"/>
    </row>
    <row r="87" spans="1:8">
      <c r="A87" s="5"/>
      <c r="B87" s="2"/>
      <c r="C87" s="2"/>
      <c r="D87" s="2"/>
      <c r="E87" s="2"/>
      <c r="F87" s="2"/>
      <c r="G87" s="2"/>
      <c r="H87" s="16"/>
    </row>
    <row r="88" spans="1:8">
      <c r="A88" s="5"/>
      <c r="B88" s="2"/>
      <c r="C88" s="2"/>
      <c r="D88" s="2"/>
      <c r="E88" s="2"/>
      <c r="F88" s="2"/>
      <c r="G88" s="2"/>
      <c r="H88" s="16"/>
    </row>
    <row r="89" spans="1:8">
      <c r="A89" s="5"/>
      <c r="B89" s="2"/>
      <c r="C89" s="2"/>
      <c r="D89" s="2"/>
      <c r="E89" s="2"/>
      <c r="F89" s="2"/>
      <c r="G89" s="2"/>
      <c r="H89" s="16"/>
    </row>
    <row r="90" spans="1:8">
      <c r="A90" s="5"/>
      <c r="B90" s="2"/>
      <c r="C90" s="2"/>
      <c r="D90" s="2"/>
      <c r="E90" s="2"/>
      <c r="F90" s="2"/>
      <c r="G90" s="2"/>
      <c r="H90" s="16"/>
    </row>
    <row r="91" spans="1:8">
      <c r="A91" s="5"/>
      <c r="B91" s="2"/>
      <c r="C91" s="2"/>
      <c r="D91" s="2"/>
      <c r="E91" s="2"/>
      <c r="F91" s="2"/>
      <c r="G91" s="2"/>
      <c r="H91" s="16"/>
    </row>
    <row r="92" spans="1:8">
      <c r="A92" s="5"/>
      <c r="B92" s="2"/>
      <c r="C92" s="2"/>
      <c r="D92" s="2"/>
      <c r="E92" s="2"/>
      <c r="F92" s="2"/>
      <c r="G92" s="2"/>
      <c r="H92" s="16"/>
    </row>
    <row r="93" spans="1:8">
      <c r="A93" s="5"/>
      <c r="B93" s="2"/>
      <c r="C93" s="2"/>
      <c r="D93" s="2"/>
      <c r="E93" s="2"/>
      <c r="F93" s="2"/>
      <c r="G93" s="2"/>
      <c r="H93" s="16"/>
    </row>
    <row r="94" spans="1:8">
      <c r="A94" s="5"/>
      <c r="B94" s="2"/>
      <c r="C94" s="2"/>
      <c r="D94" s="2"/>
      <c r="E94" s="2"/>
      <c r="F94" s="2"/>
      <c r="G94" s="2"/>
      <c r="H94" s="16"/>
    </row>
    <row r="95" spans="1:8">
      <c r="A95" s="5"/>
      <c r="B95" s="2"/>
      <c r="C95" s="2"/>
      <c r="D95" s="2"/>
      <c r="E95" s="2"/>
      <c r="F95" s="2"/>
      <c r="G95" s="2"/>
      <c r="H95" s="16"/>
    </row>
    <row r="96" spans="1:8">
      <c r="A96" s="5"/>
      <c r="B96" s="2"/>
      <c r="C96" s="2"/>
      <c r="D96" s="2"/>
      <c r="E96" s="2"/>
      <c r="F96" s="2"/>
      <c r="G96" s="2"/>
      <c r="H96" s="16"/>
    </row>
    <row r="97" spans="1:8">
      <c r="A97" s="5"/>
      <c r="B97" s="2"/>
      <c r="C97" s="2"/>
      <c r="D97" s="2"/>
      <c r="E97" s="2"/>
      <c r="F97" s="2"/>
      <c r="G97" s="2"/>
      <c r="H97" s="16"/>
    </row>
    <row r="98" spans="1:8">
      <c r="A98" s="5"/>
      <c r="B98" s="2"/>
      <c r="C98" s="2"/>
      <c r="D98" s="2"/>
      <c r="E98" s="2"/>
      <c r="F98" s="2"/>
      <c r="G98" s="2"/>
      <c r="H98" s="16"/>
    </row>
    <row r="99" spans="1:8">
      <c r="A99" s="5"/>
      <c r="B99" s="2"/>
      <c r="C99" s="2"/>
      <c r="D99" s="2"/>
      <c r="E99" s="2"/>
      <c r="F99" s="2"/>
      <c r="G99" s="2"/>
      <c r="H99" s="16"/>
    </row>
    <row r="100" spans="1:8">
      <c r="A100" s="5"/>
      <c r="B100" s="2"/>
      <c r="C100" s="2"/>
      <c r="D100" s="2"/>
      <c r="E100" s="2"/>
      <c r="F100" s="2"/>
      <c r="G100" s="2"/>
      <c r="H100" s="16"/>
    </row>
    <row r="101" spans="1:8">
      <c r="A101" s="5"/>
      <c r="B101" s="2"/>
      <c r="C101" s="2"/>
      <c r="D101" s="2"/>
      <c r="E101" s="2"/>
      <c r="F101" s="2"/>
      <c r="G101" s="2"/>
      <c r="H101" s="16"/>
    </row>
    <row r="102" spans="1:8">
      <c r="A102" s="5"/>
      <c r="B102" s="2"/>
      <c r="C102" s="2"/>
      <c r="D102" s="2"/>
      <c r="E102" s="2"/>
      <c r="F102" s="2"/>
      <c r="G102" s="2"/>
      <c r="H102" s="16"/>
    </row>
    <row r="103" spans="1:8">
      <c r="A103" s="5"/>
      <c r="B103" s="2"/>
      <c r="C103" s="2"/>
      <c r="D103" s="2"/>
      <c r="E103" s="2"/>
      <c r="F103" s="2"/>
      <c r="G103" s="2"/>
      <c r="H103" s="16"/>
    </row>
    <row r="104" spans="1:8">
      <c r="A104" s="6"/>
      <c r="B104" s="7"/>
      <c r="C104" s="7"/>
      <c r="D104" s="7"/>
      <c r="E104" s="7"/>
      <c r="F104" s="7"/>
      <c r="G104" s="7"/>
      <c r="H104" s="17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Lists!$C$2:$C$4</xm:f>
          </x14:formula1>
          <xm:sqref>F5:F104</xm:sqref>
        </x14:dataValidation>
        <x14:dataValidation type="list" xr:uid="{00000000-0002-0000-0100-000001000000}">
          <x14:formula1>
            <xm:f>Lists!$B$2:$B$3</xm:f>
          </x14:formula1>
          <xm:sqref>G5:G104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tabSelected="1" workbookViewId="0">
      <selection sqref="A1:F1"/>
    </sheetView>
  </sheetViews>
  <sheetFormatPr defaultRowHeight="14.25"/>
  <cols>
    <col min="1" max="1" width="8" customWidth="1"/>
    <col min="2" max="2" width="38" customWidth="1"/>
    <col min="3" max="3" width="12" customWidth="1"/>
    <col min="4" max="4" width="38" customWidth="1"/>
    <col min="5" max="5" width="18" customWidth="1"/>
    <col min="6" max="6" width="30" customWidth="1"/>
  </cols>
  <sheetData>
    <row r="1" spans="1:6" ht="30" customHeight="1">
      <c r="A1" s="18" t="s">
        <v>66</v>
      </c>
      <c r="B1" s="18"/>
      <c r="C1" s="18"/>
      <c r="D1" s="18"/>
      <c r="E1" s="18"/>
      <c r="F1" s="18"/>
    </row>
    <row r="2" spans="1:6">
      <c r="A2" s="8"/>
      <c r="B2" s="8"/>
      <c r="C2" s="8"/>
      <c r="D2" s="8"/>
      <c r="E2" s="8"/>
      <c r="F2" s="8"/>
    </row>
    <row r="3" spans="1:6" ht="15.75">
      <c r="A3" s="19" t="s">
        <v>67</v>
      </c>
      <c r="B3" s="19"/>
      <c r="C3" s="19"/>
      <c r="D3" s="19"/>
      <c r="E3" s="19"/>
      <c r="F3" s="19"/>
    </row>
    <row r="4" spans="1:6" ht="15">
      <c r="A4" s="1" t="s">
        <v>68</v>
      </c>
      <c r="B4" s="1" t="s">
        <v>69</v>
      </c>
      <c r="C4" s="1" t="s">
        <v>70</v>
      </c>
      <c r="D4" s="1" t="s">
        <v>71</v>
      </c>
      <c r="E4" s="1" t="s">
        <v>51</v>
      </c>
      <c r="F4" s="1" t="s">
        <v>72</v>
      </c>
    </row>
    <row r="5" spans="1:6" ht="28.5">
      <c r="A5" s="3">
        <v>1</v>
      </c>
      <c r="B5" s="4" t="s">
        <v>73</v>
      </c>
      <c r="C5" s="4" t="s">
        <v>58</v>
      </c>
      <c r="D5" s="4" t="s">
        <v>74</v>
      </c>
      <c r="E5" s="4" t="s">
        <v>75</v>
      </c>
      <c r="F5" s="15" t="s">
        <v>76</v>
      </c>
    </row>
    <row r="6" spans="1:6" ht="28.5">
      <c r="A6" s="5">
        <v>2</v>
      </c>
      <c r="B6" s="2" t="s">
        <v>77</v>
      </c>
      <c r="C6" s="2" t="s">
        <v>63</v>
      </c>
      <c r="D6" s="2" t="s">
        <v>78</v>
      </c>
      <c r="E6" s="2" t="s">
        <v>41</v>
      </c>
      <c r="F6" s="16" t="s">
        <v>79</v>
      </c>
    </row>
    <row r="7" spans="1:6">
      <c r="A7" s="5">
        <v>3</v>
      </c>
      <c r="B7" s="2"/>
      <c r="C7" s="2"/>
      <c r="D7" s="2"/>
      <c r="E7" s="2"/>
      <c r="F7" s="16"/>
    </row>
    <row r="8" spans="1:6">
      <c r="A8" s="5">
        <v>4</v>
      </c>
      <c r="B8" s="2"/>
      <c r="C8" s="2"/>
      <c r="D8" s="2"/>
      <c r="E8" s="2"/>
      <c r="F8" s="16"/>
    </row>
    <row r="9" spans="1:6">
      <c r="A9" s="5">
        <v>5</v>
      </c>
      <c r="B9" s="2"/>
      <c r="C9" s="2"/>
      <c r="D9" s="2"/>
      <c r="E9" s="2"/>
      <c r="F9" s="16"/>
    </row>
    <row r="10" spans="1:6">
      <c r="A10" s="5">
        <v>6</v>
      </c>
      <c r="B10" s="2"/>
      <c r="C10" s="2"/>
      <c r="D10" s="2"/>
      <c r="E10" s="2"/>
      <c r="F10" s="16"/>
    </row>
    <row r="11" spans="1:6">
      <c r="A11" s="5">
        <v>7</v>
      </c>
      <c r="B11" s="2"/>
      <c r="C11" s="2"/>
      <c r="D11" s="2"/>
      <c r="E11" s="2"/>
      <c r="F11" s="16"/>
    </row>
    <row r="12" spans="1:6">
      <c r="A12" s="6">
        <v>8</v>
      </c>
      <c r="B12" s="7"/>
      <c r="C12" s="7"/>
      <c r="D12" s="7"/>
      <c r="E12" s="7"/>
      <c r="F12" s="17"/>
    </row>
    <row r="13" spans="1:6">
      <c r="A13" s="8"/>
      <c r="B13" s="8"/>
      <c r="C13" s="8"/>
      <c r="D13" s="8"/>
      <c r="E13" s="8"/>
      <c r="F13" s="8"/>
    </row>
    <row r="14" spans="1:6" ht="15.75">
      <c r="A14" s="19" t="s">
        <v>80</v>
      </c>
      <c r="B14" s="19"/>
      <c r="C14" s="19"/>
      <c r="D14" s="19"/>
      <c r="E14" s="19"/>
      <c r="F14" s="19"/>
    </row>
    <row r="15" spans="1:6" ht="1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51</v>
      </c>
      <c r="F15" s="1" t="s">
        <v>72</v>
      </c>
    </row>
    <row r="16" spans="1:6" ht="28.5">
      <c r="A16" s="3">
        <v>1</v>
      </c>
      <c r="B16" s="4" t="s">
        <v>81</v>
      </c>
      <c r="C16" s="4" t="s">
        <v>58</v>
      </c>
      <c r="D16" s="4" t="s">
        <v>82</v>
      </c>
      <c r="E16" s="4" t="s">
        <v>27</v>
      </c>
      <c r="F16" s="15" t="s">
        <v>83</v>
      </c>
    </row>
    <row r="17" spans="1:6" ht="28.5">
      <c r="A17" s="5">
        <v>2</v>
      </c>
      <c r="B17" s="2" t="s">
        <v>84</v>
      </c>
      <c r="C17" s="2" t="s">
        <v>63</v>
      </c>
      <c r="D17" s="2" t="s">
        <v>85</v>
      </c>
      <c r="E17" s="2" t="s">
        <v>41</v>
      </c>
      <c r="F17" s="16" t="s">
        <v>86</v>
      </c>
    </row>
    <row r="18" spans="1:6">
      <c r="A18" s="5">
        <v>3</v>
      </c>
      <c r="B18" s="2"/>
      <c r="C18" s="2"/>
      <c r="D18" s="2"/>
      <c r="E18" s="2"/>
      <c r="F18" s="16"/>
    </row>
    <row r="19" spans="1:6">
      <c r="A19" s="5">
        <v>4</v>
      </c>
      <c r="B19" s="2"/>
      <c r="C19" s="2"/>
      <c r="D19" s="2"/>
      <c r="E19" s="2"/>
      <c r="F19" s="16"/>
    </row>
    <row r="20" spans="1:6">
      <c r="A20" s="5">
        <v>5</v>
      </c>
      <c r="B20" s="2"/>
      <c r="C20" s="2"/>
      <c r="D20" s="2"/>
      <c r="E20" s="2"/>
      <c r="F20" s="16"/>
    </row>
    <row r="21" spans="1:6">
      <c r="A21" s="5">
        <v>6</v>
      </c>
      <c r="B21" s="2"/>
      <c r="C21" s="2"/>
      <c r="D21" s="2"/>
      <c r="E21" s="2"/>
      <c r="F21" s="16"/>
    </row>
    <row r="22" spans="1:6">
      <c r="A22" s="5">
        <v>7</v>
      </c>
      <c r="B22" s="2"/>
      <c r="C22" s="2"/>
      <c r="D22" s="2"/>
      <c r="E22" s="2"/>
      <c r="F22" s="16"/>
    </row>
    <row r="23" spans="1:6">
      <c r="A23" s="6">
        <v>8</v>
      </c>
      <c r="B23" s="7"/>
      <c r="C23" s="7"/>
      <c r="D23" s="7"/>
      <c r="E23" s="7"/>
      <c r="F23" s="17"/>
    </row>
    <row r="24" spans="1:6">
      <c r="A24" s="8"/>
      <c r="B24" s="8"/>
      <c r="C24" s="8"/>
      <c r="D24" s="8"/>
      <c r="E24" s="8"/>
      <c r="F24" s="8"/>
    </row>
    <row r="25" spans="1:6" ht="15.75">
      <c r="A25" s="19" t="s">
        <v>87</v>
      </c>
      <c r="B25" s="19"/>
      <c r="C25" s="19"/>
      <c r="D25" s="19"/>
      <c r="E25" s="19"/>
      <c r="F25" s="19"/>
    </row>
    <row r="26" spans="1:6" ht="15">
      <c r="A26" s="1" t="s">
        <v>68</v>
      </c>
      <c r="B26" s="1" t="s">
        <v>69</v>
      </c>
      <c r="C26" s="1" t="s">
        <v>70</v>
      </c>
      <c r="D26" s="1" t="s">
        <v>71</v>
      </c>
      <c r="E26" s="1" t="s">
        <v>51</v>
      </c>
      <c r="F26" s="1" t="s">
        <v>72</v>
      </c>
    </row>
    <row r="27" spans="1:6" ht="28.5">
      <c r="A27" s="3">
        <v>1</v>
      </c>
      <c r="B27" s="4" t="s">
        <v>88</v>
      </c>
      <c r="C27" s="4" t="s">
        <v>58</v>
      </c>
      <c r="D27" s="4" t="s">
        <v>89</v>
      </c>
      <c r="E27" s="4" t="s">
        <v>75</v>
      </c>
      <c r="F27" s="15" t="s">
        <v>90</v>
      </c>
    </row>
    <row r="28" spans="1:6" ht="28.5">
      <c r="A28" s="5">
        <v>2</v>
      </c>
      <c r="B28" s="2" t="s">
        <v>91</v>
      </c>
      <c r="C28" s="2" t="s">
        <v>63</v>
      </c>
      <c r="D28" s="2" t="s">
        <v>92</v>
      </c>
      <c r="E28" s="2" t="s">
        <v>93</v>
      </c>
      <c r="F28" s="16" t="s">
        <v>94</v>
      </c>
    </row>
    <row r="29" spans="1:6">
      <c r="A29" s="5">
        <v>3</v>
      </c>
      <c r="B29" s="2"/>
      <c r="C29" s="2"/>
      <c r="D29" s="2"/>
      <c r="E29" s="2"/>
      <c r="F29" s="16"/>
    </row>
    <row r="30" spans="1:6">
      <c r="A30" s="5">
        <v>4</v>
      </c>
      <c r="B30" s="2"/>
      <c r="C30" s="2"/>
      <c r="D30" s="2"/>
      <c r="E30" s="2"/>
      <c r="F30" s="16"/>
    </row>
    <row r="31" spans="1:6">
      <c r="A31" s="5">
        <v>5</v>
      </c>
      <c r="B31" s="2"/>
      <c r="C31" s="2"/>
      <c r="D31" s="2"/>
      <c r="E31" s="2"/>
      <c r="F31" s="16"/>
    </row>
    <row r="32" spans="1:6">
      <c r="A32" s="5">
        <v>6</v>
      </c>
      <c r="B32" s="2"/>
      <c r="C32" s="2"/>
      <c r="D32" s="2"/>
      <c r="E32" s="2"/>
      <c r="F32" s="16"/>
    </row>
    <row r="33" spans="1:6">
      <c r="A33" s="5">
        <v>7</v>
      </c>
      <c r="B33" s="2"/>
      <c r="C33" s="2"/>
      <c r="D33" s="2"/>
      <c r="E33" s="2"/>
      <c r="F33" s="16"/>
    </row>
    <row r="34" spans="1:6">
      <c r="A34" s="6">
        <v>8</v>
      </c>
      <c r="B34" s="7"/>
      <c r="C34" s="7"/>
      <c r="D34" s="7"/>
      <c r="E34" s="7"/>
      <c r="F34" s="17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8"/>
      <c r="B39" s="8"/>
      <c r="C39" s="8"/>
      <c r="D39" s="8"/>
      <c r="E39" s="8"/>
      <c r="F39" s="8"/>
    </row>
    <row r="40" spans="1:6">
      <c r="A40" s="8"/>
      <c r="B40" s="8"/>
      <c r="C40" s="8"/>
      <c r="D40" s="8"/>
      <c r="E40" s="8"/>
      <c r="F40" s="8"/>
    </row>
  </sheetData>
  <mergeCells count="4">
    <mergeCell ref="A1:F1"/>
    <mergeCell ref="A3:F3"/>
    <mergeCell ref="A14:F14"/>
    <mergeCell ref="A25:F25"/>
  </mergeCells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Lists!$D$2:$D$4</xm:f>
          </x14:formula1>
          <xm:sqref>C5:C12 C27:C34 C16:C23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A2" sqref="A2:A6"/>
    </sheetView>
  </sheetViews>
  <sheetFormatPr defaultRowHeight="14.25"/>
  <cols>
    <col min="1" max="4" width="20" customWidth="1"/>
  </cols>
  <sheetData>
    <row r="1" spans="1:4" ht="15">
      <c r="A1" s="1" t="s">
        <v>17</v>
      </c>
      <c r="B1" s="1" t="s">
        <v>95</v>
      </c>
      <c r="C1" s="1" t="s">
        <v>53</v>
      </c>
      <c r="D1" s="1" t="s">
        <v>70</v>
      </c>
    </row>
    <row r="2" spans="1:4">
      <c r="A2" t="s">
        <v>96</v>
      </c>
      <c r="B2" t="s">
        <v>64</v>
      </c>
      <c r="C2" t="s">
        <v>58</v>
      </c>
      <c r="D2" t="s">
        <v>58</v>
      </c>
    </row>
    <row r="3" spans="1:4">
      <c r="A3" t="s">
        <v>97</v>
      </c>
      <c r="B3" t="s">
        <v>59</v>
      </c>
      <c r="C3" t="s">
        <v>63</v>
      </c>
      <c r="D3" t="s">
        <v>63</v>
      </c>
    </row>
    <row r="4" spans="1:4">
      <c r="A4" t="s">
        <v>33</v>
      </c>
      <c r="C4" t="s">
        <v>98</v>
      </c>
      <c r="D4" t="s">
        <v>98</v>
      </c>
    </row>
    <row r="5" spans="1:4">
      <c r="A5" t="s">
        <v>24</v>
      </c>
    </row>
    <row r="6" spans="1:4">
      <c r="A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Retro</vt:lpstr>
      <vt:lpstr>New Backlog</vt:lpstr>
      <vt:lpstr>Retrospective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Lab4</cp:lastModifiedBy>
  <dcterms:modified xsi:type="dcterms:W3CDTF">2026-09-10T06:23:08Z</dcterms:modified>
</cp:coreProperties>
</file>