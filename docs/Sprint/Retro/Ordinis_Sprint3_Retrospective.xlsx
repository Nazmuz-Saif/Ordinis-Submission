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print Retro" sheetId="1" state="visible" r:id="rId3"/>
    <sheet name="New Backlog" sheetId="2" state="visible" r:id="rId4"/>
    <sheet name="Retrospective" sheetId="3" state="visible" r:id="rId5"/>
    <sheet name="List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<sst xmlns="http://schemas.openxmlformats.org/spreadsheetml/2006/main" count="488" uniqueCount="197">
  <si>
    <t xml:space="preserve">Ordinis — Sprint 3 Retrospective</t>
  </si>
  <si>
    <t xml:space="preserve">Sprint Details</t>
  </si>
  <si>
    <t xml:space="preserve">Sprint Summary</t>
  </si>
  <si>
    <t xml:space="preserve">Sprint Name / No.</t>
  </si>
  <si>
    <t xml:space="preserve">Sprint 3</t>
  </si>
  <si>
    <t xml:space="preserve">Total Stories</t>
  </si>
  <si>
    <t xml:space="preserve">Sprint Start Date</t>
  </si>
  <si>
    <t xml:space="preserve">30-Sep-2026</t>
  </si>
  <si>
    <t xml:space="preserve">Completed Stories</t>
  </si>
  <si>
    <t xml:space="preserve">Sprint End Date</t>
  </si>
  <si>
    <t xml:space="preserve">07-Oct-2026</t>
  </si>
  <si>
    <t xml:space="preserve">Incomplete Stories</t>
  </si>
  <si>
    <t xml:space="preserve">New Backlog Stories Created</t>
  </si>
  <si>
    <t xml:space="preserve">Completion %</t>
  </si>
  <si>
    <t xml:space="preserve">Story Status / Task Tracking</t>
  </si>
  <si>
    <t xml:space="preserve">Story No.</t>
  </si>
  <si>
    <t xml:space="preserve">Task</t>
  </si>
  <si>
    <t xml:space="preserve">Task Status</t>
  </si>
  <si>
    <t xml:space="preserve">Task Owner</t>
  </si>
  <si>
    <t xml:space="preserve">Reason for Not Completing Task</t>
  </si>
  <si>
    <t xml:space="preserve">New Backlog Story No.</t>
  </si>
  <si>
    <t xml:space="preserve">Story Result</t>
  </si>
  <si>
    <t xml:space="preserve">ST-111</t>
  </si>
  <si>
    <t xml:space="preserve">Design permission-enforcement flow, CEO Role bootstrap at registration, and tenant-safe company resolution</t>
  </si>
  <si>
    <t xml:space="preserve">Completed</t>
  </si>
  <si>
    <t xml:space="preserve">Md. Nazmuz Saif</t>
  </si>
  <si>
    <t xml:space="preserve">Seed the full Permission set and verify all migrations on a fresh database</t>
  </si>
  <si>
    <t xml:space="preserve">Fix HasPermission and IsCompanyActive; remove get_effective_company from mixins, views, serializers, and MeView</t>
  </si>
  <si>
    <t xml:space="preserve">Create the CEO Role inside the atomic company registration; add PermissionRequiredMixin to RoleViewSet; move RBAC into the rbac app</t>
  </si>
  <si>
    <t xml:space="preserve">Block self-manager and reports_to cycles on Employee create/update</t>
  </si>
  <si>
    <t xml:space="preserve">Build the Company Registration page (form, validation, API call, auto-login)</t>
  </si>
  <si>
    <t xml:space="preserve">Add subordinate list to Employee detail and Role assign/revoke to the Employee page; hide controls by permission</t>
  </si>
  <si>
    <t xml:space="preserve">Self-test 403 without permission, 200 with it, cross-company access, cycle block, and fresh-DB registration</t>
  </si>
  <si>
    <t xml:space="preserve">TC-19: [Selenium] Log in as an Employee without the manage_departments Permission and try to add a Department — expect an error message and no record created</t>
  </si>
  <si>
    <t xml:space="preserve">Montasim Kabir Mahin</t>
  </si>
  <si>
    <t xml:space="preserve">TC-20: [Selenium] Log in as a CEO right after registration and add a Department — expect success (CEO Role assigned automatically)</t>
  </si>
  <si>
    <t xml:space="preserve">TC-21: [Selenium] Register a new company from the registration page — expect a redirect to the dashboard as CEO of that company only</t>
  </si>
  <si>
    <t xml:space="preserve">TC-22: [Selenium] Try to set an Employee as their own manager or create a reports_to cycle — expect the request blocked with a message</t>
  </si>
  <si>
    <t xml:space="preserve">TC-23: [Selenium] Open an Employee detail page — expect the subordinate list; assign then revoke a Role — expect the page to update</t>
  </si>
  <si>
    <t xml:space="preserve">ST-112</t>
  </si>
  <si>
    <t xml:space="preserve">Design ApprovalChain and ApprovalStep schema (ordered steps, approver Role)</t>
  </si>
  <si>
    <t xml:space="preserve">Create the approvals app models and migrations; seed the chain-management Permission</t>
  </si>
  <si>
    <t xml:space="preserve">Build ApprovalChain/ApprovalStep serializers and ViewSets (company-scoped, step order unique)</t>
  </si>
  <si>
    <t xml:space="preserve">Build the Approval Chains page (create chain, add ordered steps with Role, edit, delete)</t>
  </si>
  <si>
    <t xml:space="preserve">Self-test chain creation, duplicate step order, and cross-company access</t>
  </si>
  <si>
    <t xml:space="preserve">TC-24: [Selenium] Create an Approval Chain with three ordered steps — expect the steps saved in order</t>
  </si>
  <si>
    <t xml:space="preserve">Sadia Jahan Disha</t>
  </si>
  <si>
    <t xml:space="preserve">TC-25: [Selenium] Add a step with a duplicate order or no Role — expect a validation error</t>
  </si>
  <si>
    <t xml:space="preserve">TC-26: [Selenium] Log in as Company B and open Company A's chain by ID — expect HTTP 404</t>
  </si>
  <si>
    <t xml:space="preserve">ST-113</t>
  </si>
  <si>
    <t xml:space="preserve">Design ApprovalInstance and ApprovalAction flow (step pointer, approve/reject rules)</t>
  </si>
  <si>
    <t xml:space="preserve">Create ApprovalInstance (generic relation) and ApprovalAction models and migrations</t>
  </si>
  <si>
    <t xml:space="preserve">Build approve/reject actions: step-Role check, step advance, reject ends request, comment stored, double action blocked</t>
  </si>
  <si>
    <t xml:space="preserve">Build the pending-approvals list with an approve/reject dialog and comment box</t>
  </si>
  <si>
    <t xml:space="preserve">Self-test full multi-step approval, a reject, and an unauthorized approver</t>
  </si>
  <si>
    <t xml:space="preserve">TC-27: [Selenium] Approve as the holder of the current step's Role — expect the request to move to the next step</t>
  </si>
  <si>
    <t xml:space="preserve">Fawjiya Fahima Eifa</t>
  </si>
  <si>
    <t xml:space="preserve">TC-28: [Selenium] Reject with a comment — expect the request to end and the comment to be shown in the history</t>
  </si>
  <si>
    <t xml:space="preserve">TC-29: [Selenium] Try to approve without the step's Role, or act on the same step twice — expect the action blocked</t>
  </si>
  <si>
    <t xml:space="preserve">ST-114</t>
  </si>
  <si>
    <t xml:space="preserve">Design the UI component kit (props, colors, empty and loading states) from the design system</t>
  </si>
  <si>
    <t xml:space="preserve">Build StatusPill, MetricCard, EmptyState, and ChartCard components and the /dev/ui-kit showcase page</t>
  </si>
  <si>
    <t xml:space="preserve">Self-test every component in the showcase page at desktop and mobile widths</t>
  </si>
  <si>
    <t xml:space="preserve">TC-30: [Selenium] Open /dev/ui-kit — expect Success, Warning, and Failed status pills, each with color and text</t>
  </si>
  <si>
    <t xml:space="preserve">Md. Tahsin Rahman Khan</t>
  </si>
  <si>
    <t xml:space="preserve">TC-31: [Selenium] Open /dev/ui-kit — expect a MetricCard with value and delta, and an EmptyState whose action button is clickable</t>
  </si>
  <si>
    <t xml:space="preserve">ST-115</t>
  </si>
  <si>
    <t xml:space="preserve">Design the grouped sidebar structure, top bar layout, and permission-based menu rules from the design system</t>
  </si>
  <si>
    <t xml:space="preserve">Build the collapsible grouped Sidebar with active-item highlight and permission-based items</t>
  </si>
  <si>
    <t xml:space="preserve">Build the top bar: page title, search box, company name, notification bell dropdown with empty state, and user menu</t>
  </si>
  <si>
    <t xml:space="preserve">Add the PlanBadge component (shows the plan name only when the server provides one; nothing hard-coded)</t>
  </si>
  <si>
    <t xml:space="preserve">Self-test sidebar groups, hidden items for a low-permission user, and the bell dropdown</t>
  </si>
  <si>
    <t xml:space="preserve">TC-32: Click a sidebar group header — expect its links to expand and collapse</t>
  </si>
  <si>
    <t xml:space="preserve">TC-33: Click a sidebar group header — expect its links to expand and collapse</t>
  </si>
  <si>
    <t xml:space="preserve">TC-34: Click a sidebar group header — expect its links to expand and collapse</t>
  </si>
  <si>
    <t xml:space="preserve">TC-35: Click the notification bell — expect a dropdown with an empty state; click outside — expect it to close</t>
  </si>
  <si>
    <t xml:space="preserve">ST-116</t>
  </si>
  <si>
    <t xml:space="preserve">Design the Task schema (assignee, assigned-by, priority, deadline, status) and the allowed status-transition map</t>
  </si>
  <si>
    <t xml:space="preserve">Create the tasks app Task model and migration; seed the create_task Permission</t>
  </si>
  <si>
    <t xml:space="preserve">Build TaskSerializer and TaskViewSet (company-scoped, assigned-by set by server, same-company assignee check)</t>
  </si>
  <si>
    <t xml:space="preserve">Build the submit action with transition validation and an assignee-only check</t>
  </si>
  <si>
    <t xml:space="preserve">Build the Tasks page (list, create, edit, delete; priority badge, deadline) with a Submit button for the assignee</t>
  </si>
  <si>
    <t xml:space="preserve">Self-test task CRUD, cross-company assignee, a valid submit, an invalid transition, and a non-assignee submit</t>
  </si>
  <si>
    <t xml:space="preserve">TC-36: [Selenium] Create a Task with priority and deadline for an Employee — expect it in the Tasks list</t>
  </si>
  <si>
    <t xml:space="preserve">TC-37: [Selenium] Assign a Task to an Employee of another company — expect the request rejected</t>
  </si>
  <si>
    <t xml:space="preserve">TC-38: [Selenium] Edit and delete a Task; log in without create_task — expect no create/edit/delete buttons</t>
  </si>
  <si>
    <t xml:space="preserve">TC-39: [Selenium] As the assignee, submit an In Progress Task — expect the status to become Submitted</t>
  </si>
  <si>
    <t xml:space="preserve">TC-40: [Selenium] Try a move that is not allowed (Completed to Not Started) — expect a clear error</t>
  </si>
  <si>
    <t xml:space="preserve">TC-41: [Selenium] As a different Employee, try to submit someone else's Task — expect the request blocked</t>
  </si>
  <si>
    <t xml:space="preserve">ST-117</t>
  </si>
  <si>
    <t xml:space="preserve">Design DelegationRule schema (delegator, delegate, date range)</t>
  </si>
  <si>
    <t xml:space="preserve">Create DelegationRule model and migration</t>
  </si>
  <si>
    <t xml:space="preserve">Build DelegationRule serializer and ViewSet with date-range, self-delegation, and same-company validation</t>
  </si>
  <si>
    <t xml:space="preserve">Build the Delegation page (create, list, delete)</t>
  </si>
  <si>
    <t xml:space="preserve">Self-test valid delegation, reversed dates, and self-delegation</t>
  </si>
  <si>
    <t xml:space="preserve">TC-42: [Selenium] Create a delegation with a valid date range — expect it in the list</t>
  </si>
  <si>
    <t xml:space="preserve">TC-43: [Selenium] Enter an end date before the start date — expect a validation error</t>
  </si>
  <si>
    <t xml:space="preserve">TC-44: [Selenium] Delegate to yourself — expect the request rejected</t>
  </si>
  <si>
    <t xml:space="preserve">ST-118</t>
  </si>
  <si>
    <t xml:space="preserve">Design SalaryStructure schema and finance-Permission gating (hierarchy-independent)</t>
  </si>
  <si>
    <t xml:space="preserve">Create the payroll app SalaryStructure model and migration; seed the finance Permission</t>
  </si>
  <si>
    <t xml:space="preserve">Deferred</t>
  </si>
  <si>
    <t xml:space="preserve">Marked Incomplete in the Sprint 3 planning sheet (reason not recorded — confirm with owner).</t>
  </si>
  <si>
    <t xml:space="preserve">PB-40</t>
  </si>
  <si>
    <t xml:space="preserve">Build SalaryStructure serializer and ViewSet gated by the finance Permission (company-scoped)</t>
  </si>
  <si>
    <t xml:space="preserve">Marked Incomplete in the Sprint 3 planning sheet (reason not recorded — confirm with owner). TC-46 (create and edit a Salary Structure with the finance Permission) failed.</t>
  </si>
  <si>
    <t xml:space="preserve">Build the Salary Structures page, hidden for users without the Permission</t>
  </si>
  <si>
    <t xml:space="preserve">Self-test access with and without the finance Permission</t>
  </si>
  <si>
    <t xml:space="preserve">TC-45: [Selenium] Log in without the finance Permission and open Salary Structures — expect no menu item and HTTP 403 from the API</t>
  </si>
  <si>
    <t xml:space="preserve">TC-46: [Selenium] Log in with the finance Permission and create and edit a Salary Structure — expect success</t>
  </si>
  <si>
    <t xml:space="preserve">TC-46 Failed in the Selenium cross-review (reason not recorded — confirm with owner); re-test needed.</t>
  </si>
  <si>
    <t xml:space="preserve">TC-47: [Selenium] Log in as a manager above the Accountant in the hierarchy but without the finance Permission — expect salary data still blocked</t>
  </si>
  <si>
    <t xml:space="preserve">ST-119</t>
  </si>
  <si>
    <t xml:space="preserve">Design the Attendance schema and the one-check-in-per-day rule (company local time)</t>
  </si>
  <si>
    <t xml:space="preserve">Create the attendance app Attendance model and migration (unique per employee per day)</t>
  </si>
  <si>
    <t xml:space="preserve">Build check-in and check-out actions with duplicate and out-of-order validation</t>
  </si>
  <si>
    <t xml:space="preserve">Build the Attendance page with Check In / Check Out buttons and today's status</t>
  </si>
  <si>
    <t xml:space="preserve">Self-test check-in, duplicate check-in, and check-out before check-in</t>
  </si>
  <si>
    <t xml:space="preserve">TC-48: [Selenium] Click Check In — expect today's status to show the check-in time</t>
  </si>
  <si>
    <t xml:space="preserve">TC-49: [Selenium] Click Check In a second time on the same day — expect a clear error message</t>
  </si>
  <si>
    <t xml:space="preserve">TC-50: [Selenium] Log in as a new Employee and click Check Out before Check In — expect the request blocked</t>
  </si>
  <si>
    <t xml:space="preserve">New Backlog Stories for Incomplete Tasks</t>
  </si>
  <si>
    <t xml:space="preserve">At retrospective time, New Backlog Status is limited to To Do or Ready. In Progress begins only after a story is selected during Sprint Planning.</t>
  </si>
  <si>
    <t xml:space="preserve">Source Sprint Story No.</t>
  </si>
  <si>
    <t xml:space="preserve">Incomplete Task</t>
  </si>
  <si>
    <t xml:space="preserve">Owner</t>
  </si>
  <si>
    <t xml:space="preserve">Reason / Context</t>
  </si>
  <si>
    <t xml:space="preserve">Priority</t>
  </si>
  <si>
    <t xml:space="preserve">Backlog Status</t>
  </si>
  <si>
    <t xml:space="preserve">Notes / Acceptance Criteria</t>
  </si>
  <si>
    <t xml:space="preserve">Database: Create the payroll app SalaryStructure model and migration; seed the finance Permission (1h)
Backend: Build SalaryStructure serializer and ViewSet gated by the finance Permission, company-scoped (2h)
Self-Test: access with and without the finance Permission (1h)
QA: TC-46 [Selenium] log in with the finance Permission and create and edit a Salary Structure — re-test after the fix (1.5h)</t>
  </si>
  <si>
    <t xml:space="preserve">3 of 5 ST-118 tasks (4 hrs) were marked Incomplete in Sprint 3, and TC-46 (1.5 hrs) failed; Design and Frontend were completed, and TC-45 and TC-47 passed. Reason not recorded — confirm with owner before re-planning.</t>
  </si>
  <si>
    <t xml:space="preserve">High</t>
  </si>
  <si>
    <t xml:space="preserve">To Do</t>
  </si>
  <si>
    <t xml:space="preserve">Carry-over of PB-18 (ST-118). Acceptance criteria:
- A Salary Structure (base salary and allowances) can be defined per Employee
- Salary Structure endpoints require the finance Permission
- Access does not depend on the reporting hierarchy
- Salary UI is hidden for users without the Permission
- TC-46 passes on re-test</t>
  </si>
  <si>
    <t xml:space="preserve">Sprint Retrospective Discussion &amp; Actions</t>
  </si>
  <si>
    <t xml:space="preserve">A. What Went Well</t>
  </si>
  <si>
    <t xml:space="preserve">No.</t>
  </si>
  <si>
    <t xml:space="preserve">Observation / Feedback</t>
  </si>
  <si>
    <t xml:space="preserve">Impact</t>
  </si>
  <si>
    <t xml:space="preserve">Action / Follow-up</t>
  </si>
  <si>
    <t xml:space="preserve">Target / Notes</t>
  </si>
  <si>
    <t xml:space="preserve">8 of 9 stories (38 of 41 pts) were delivered, and every one of their test cases Passed. The 4 Sprint 2 ST-110 carry-over tasks (11 hrs) were closed inside ST-111, so permission enforcement and tenant-safe company resolution — the open part of the Sprint 2 RBAC goal — are now delivered.</t>
  </si>
  <si>
    <t xml:space="preserve">Use ST-111 as the pattern for carry-overs: re-plan the unfinished work inside a new story that has its own test cases.</t>
  </si>
  <si>
    <t xml:space="preserve">Apply to the ST-118 carry-over in Sprint 4.</t>
  </si>
  <si>
    <t xml:space="preserve">Every story was tested by a member who did not write it (cross-test assignment), and all 32 Selenium test cases (TC-19 to TC-50) have a result: 31 Passed, 1 Failed. In Sprint 2, 5 of 8 test cases were still 'to do' at sprint end.</t>
  </si>
  <si>
    <t xml:space="preserve">Keep the cross-test rotation and finish all test cases inside the sprint in Sprint 4.</t>
  </si>
  <si>
    <t xml:space="preserve">Sprint 4.</t>
  </si>
  <si>
    <t xml:space="preserve">The Approval Chain (ST-112) and approve/reject engine (ST-113) were delivered with all 6 test cases (TC-24 to TC-29) Passed, including ordered steps, cross-company 404, comment on every action, and a blocked double action.</t>
  </si>
  <si>
    <t xml:space="preserve">Reuse the approval engine for leave requests (PB-29, PB-30) instead of building a separate flow.</t>
  </si>
  <si>
    <t xml:space="preserve">Sprint 5 (PB-30).</t>
  </si>
  <si>
    <t xml:space="preserve">Guard rules were enforced and tested across the stories: self-manager and reports_to cycle block (TC-22), cross-company access (TC-26, TC-37), invalid task status change (TC-40), non-assignee submit (TC-41), reversed dates and self-delegation (TC-43, TC-44), duplicate check-in and early check-out (TC-49, TC-50).</t>
  </si>
  <si>
    <t xml:space="preserve">Keep a negative-path test case for every story's validation rule, as done in Sprint 3.</t>
  </si>
  <si>
    <t xml:space="preserve">Ongoing.</t>
  </si>
  <si>
    <t xml:space="preserve">Story ownership kept rotating: Md. Tahsin Rahman Khan owned his first full story (ST-117, all 5 tasks Completed), and Montasim Kabir Mahin, Sadia Jahan Disha and Fawjiya Fahima Eifa each owned a story from Design to Self-Test.</t>
  </si>
  <si>
    <t xml:space="preserve">Keep the one-owner-per-story rotation and give lighter-scope stories to members still building experience; Md. Nazmuz Saif stays as fallback.</t>
  </si>
  <si>
    <t xml:space="preserve">Ongoing from Sprint 4.</t>
  </si>
  <si>
    <t xml:space="preserve">The shared UI kit (StatusPill, MetricCard, EmptyState, ChartCard, with the /dev/ui-kit showcase) and the app shell (grouped sidebar, top bar, notification bell, PlanBadge) were delivered, and menu items already hide by Permission.</t>
  </si>
  <si>
    <t xml:space="preserve">Medium</t>
  </si>
  <si>
    <t xml:space="preserve">Build the Sprint 4 screens (role dashboards PB-22, Kanban board PB-25) on these components instead of creating new ones.</t>
  </si>
  <si>
    <t xml:space="preserve">Apply from Sprint 4.</t>
  </si>
  <si>
    <t xml:space="preserve">The Sprint 2 rule 'a story is Completed only after its test cases pass' held: all 8 Completed stories have every test case Passed, and ST-118 stays open.</t>
  </si>
  <si>
    <t xml:space="preserve">Keep the rule: a story is Completed only when its tasks are done and its test cases have passed.</t>
  </si>
  <si>
    <t xml:space="preserve">B. What Didn't Go Well</t>
  </si>
  <si>
    <t xml:space="preserve">ST-118 (salary structure restricted by the finance Permission, 3 pts) was not delivered: Database, Backend and Self-Test (4 hrs) are marked Incomplete and TC-46 (create and edit a Salary Structure with the finance Permission) failed. Only the blocking tests (TC-45, TC-47) passed. The Sprint 3 goal item 'salary-data restriction' is therefore open.</t>
  </si>
  <si>
    <t xml:space="preserve">Carried to the backlog as PB-40. Confirm with the owner why the three tasks stopped, then re-plan it at Sprint 4 planning and re-run TC-46.</t>
  </si>
  <si>
    <t xml:space="preserve">Re-plan at Sprint 4 planning.</t>
  </si>
  <si>
    <t xml:space="preserve">Work was concentrated on one person: Md. Nazmuz Saif owned 5 of 9 stories (24 of 41 pts, 66 of 104 task hours) and also took the 11 hrs of ST-110 carry-over.</t>
  </si>
  <si>
    <t xml:space="preserve">Spread Sprint 4 story ownership more evenly (PB-21 to PB-24 are all listed under Md. Nazmuz Saif) and keep him as fallback.</t>
  </si>
  <si>
    <t xml:space="preserve">Sprint 4 planning.</t>
  </si>
  <si>
    <t xml:space="preserve">ST-115 test cases are weak: TC-32, TC-33 and TC-34 have identical text (expand/collapse a sidebar group) and TC-32 to TC-35 lack the [Selenium] tag. No test case covers the permission-hidden menu item, active-item highlight, top bar or PlanBadge criteria.</t>
  </si>
  <si>
    <t xml:space="preserve">Rewrite TC-32 to TC-34 so each covers a different ST-115 criterion, add the [Selenium] tag, and re-run them.</t>
  </si>
  <si>
    <t xml:space="preserve">Start of Sprint 4.</t>
  </si>
  <si>
    <t xml:space="preserve">The Sprint 3 sheet shows no result for Sprint 2's pending test cases TC-14 to TC-18, which the Sprint 2 retro asked to run at the start of Sprint 3.</t>
  </si>
  <si>
    <t xml:space="preserve">Confirm whether TC-14 to TC-18 were run and record their results.</t>
  </si>
  <si>
    <t xml:space="preserve">The reason ST-110 paused in Sprint 2 is still not recorded; its 4 tasks moved from Fawjiya Fahima Eifa to Md. Nazmuz Saif in Sprint 3 without a note on why.</t>
  </si>
  <si>
    <t xml:space="preserve">Ask the owner why ST-110 stopped and record it, so the same stall is not repeated on ST-118.</t>
  </si>
  <si>
    <t xml:space="preserve">Before Sprint 4 planning.</t>
  </si>
  <si>
    <t xml:space="preserve">C. What Can Be Improved</t>
  </si>
  <si>
    <t xml:space="preserve">Sprint 3 was planned at 41 pts in 8 days (Sep 30 – Oct 7); Sprint 1 was 21 pts in 9 days and Sprint 2 was 18 pts in 14 days. 38 pts were delivered, and the Sprint 4 backlog already holds 44 pts plus the ST-118 carry-over.</t>
  </si>
  <si>
    <t xml:space="preserve">At Sprint 4 planning, size the sprint against delivered points (38) and the real sprint length, not the whole Sprint 4 backlog; move lower-priority stories to Sprint 5.</t>
  </si>
  <si>
    <t xml:space="preserve">The planning sheet still uses Done, Incomplete, 'Done (in ST-111)' and Passed/Failed instead of the standard list values, and the three Incomplete ST-118 tasks have no reason recorded. 'Pause' is no longer used.</t>
  </si>
  <si>
    <t xml:space="preserve">Use only the standard list values (Not Started, In Progress, Blocked, Completed, Deferred) and record a reason whenever a task is not completed.</t>
  </si>
  <si>
    <t xml:space="preserve">Effective Sprint 4.</t>
  </si>
  <si>
    <t xml:space="preserve">ST-118's Frontend task was marked Completed while its Database and Backend tasks were not, so a Salary Structures page exists without its backend finished.</t>
  </si>
  <si>
    <t xml:space="preserve">Do story tasks in order (Design → Database → Backend → Frontend → Self-Test) and mark a Frontend task Completed only after the API it calls works.</t>
  </si>
  <si>
    <t xml:space="preserve">Apply at ST-118 re-planning.</t>
  </si>
  <si>
    <t xml:space="preserve">The planning sheet's Task Breakdown does not list the QA test cases as tasks, so they had to be added to this retro sheet from the Overall Testing table.</t>
  </si>
  <si>
    <t xml:space="preserve">List each story's test cases as tasks in the sprint planning breakdown, so story progress and QA progress are tracked together.</t>
  </si>
  <si>
    <t xml:space="preserve">PB-26 was given to the ST-110 carry-over in the Sprint 2 retro, but the Product Backlog now uses PB-26 for a different story (daily progress log); the carry-over was delivered as PB-11 (ST-111).</t>
  </si>
  <si>
    <t xml:space="preserve">Low</t>
  </si>
  <si>
    <t xml:space="preserve">Check the next free PB number in the Product Backlog before creating a carry-over story (PB-40 is used for the ST-118 carry-over).</t>
  </si>
  <si>
    <t xml:space="preserve">New Backlog Status</t>
  </si>
  <si>
    <t xml:space="preserve">Not Started</t>
  </si>
  <si>
    <t xml:space="preserve">In Progress</t>
  </si>
  <si>
    <t xml:space="preserve">Ready</t>
  </si>
  <si>
    <t xml:space="preserve">Blocked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</si>
</sst>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1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sz val="11"/>
      <color theme="1"/>
      <name val="Calibri"/>
      <family val="0"/>
      <charset val="1"/>
    </font>
    <font>
      <b val="true"/>
      <sz val="12"/>
      <color rgb="FF1F1F1F"/>
      <name val="Calibri"/>
      <family val="0"/>
      <charset val="1"/>
    </font>
    <font>
      <b val="true"/>
      <sz val="11"/>
      <color theme="1"/>
      <name val="Calibri"/>
      <family val="0"/>
      <charset val="1"/>
    </font>
    <font>
      <b val="true"/>
      <sz val="12"/>
      <color theme="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i val="true"/>
      <sz val="11"/>
      <color theme="1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AF7"/>
        <bgColor rgb="FFEAF2F8"/>
      </patternFill>
    </fill>
    <fill>
      <patternFill patternType="solid">
        <fgColor rgb="FFEAF2F8"/>
        <bgColor rgb="FFF3F8FC"/>
      </patternFill>
    </fill>
    <fill>
      <patternFill patternType="solid">
        <fgColor rgb="FFFFFDF2"/>
        <bgColor rgb="FFFFFFFF"/>
      </patternFill>
    </fill>
    <fill>
      <patternFill patternType="solid">
        <fgColor rgb="FFF3F8FC"/>
        <bgColor rgb="FFEAF2F8"/>
      </patternFill>
    </fill>
    <fill>
      <patternFill patternType="solid">
        <fgColor rgb="FF5B9BD5"/>
        <bgColor rgb="FF969696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/>
      <top style="thin">
        <color rgb="FFD9D9D9"/>
      </top>
      <bottom/>
      <diagonal/>
    </border>
    <border diagonalUp="false" diagonalDown="false">
      <left/>
      <right/>
      <top style="thin">
        <color rgb="FFD9D9D9"/>
      </top>
      <bottom/>
      <diagonal/>
    </border>
    <border diagonalUp="false" diagonalDown="false">
      <left/>
      <right style="thin">
        <color rgb="FFD9D9D9"/>
      </right>
      <top style="thin">
        <color rgb="FFD9D9D9"/>
      </top>
      <bottom/>
      <diagonal/>
    </border>
    <border diagonalUp="false" diagonalDown="false">
      <left style="thin">
        <color rgb="FFD9D9D9"/>
      </left>
      <right/>
      <top/>
      <bottom/>
      <diagonal/>
    </border>
    <border diagonalUp="false" diagonalDown="false">
      <left/>
      <right style="thin">
        <color rgb="FFD9D9D9"/>
      </right>
      <top/>
      <bottom/>
      <diagonal/>
    </border>
    <border diagonalUp="false" diagonalDown="false">
      <left style="thin">
        <color rgb="FFD9D9D9"/>
      </left>
      <right/>
      <top/>
      <bottom style="thin">
        <color rgb="FFD9D9D9"/>
      </bottom>
      <diagonal/>
    </border>
    <border diagonalUp="false" diagonalDown="false">
      <left/>
      <right/>
      <top/>
      <bottom style="thin">
        <color rgb="FFD9D9D9"/>
      </bottom>
      <diagonal/>
    </border>
    <border diagonalUp="false" diagonalDown="false">
      <left/>
      <right style="thin">
        <color rgb="FFD9D9D9"/>
      </right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8" fillId="6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6" fontId="8" fillId="6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9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5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5" borderId="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7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8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4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5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8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color rgb="FF375623"/>
      </font>
      <fill>
        <patternFill>
          <bgColor rgb="FFE2F0D9"/>
        </patternFill>
      </fill>
    </dxf>
    <dxf>
      <font>
        <b val="1"/>
        <color rgb="FFC00000"/>
      </font>
      <fill>
        <patternFill>
          <bgColor rgb="FFFCE4D6"/>
        </patternFill>
      </fill>
    </dxf>
    <dxf>
      <font>
        <color rgb="FF7F6000"/>
      </font>
      <fill>
        <patternFill>
          <bgColor rgb="FFFFF2CC"/>
        </patternFill>
      </fill>
    </dxf>
    <dxf>
      <font>
        <b val="1"/>
        <color rgb="FF375623"/>
      </font>
      <fill>
        <patternFill>
          <bgColor rgb="FFE2F0D9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F3F8FC"/>
      <rgbColor rgb="FF808080"/>
      <rgbColor rgb="FF5B9BD5"/>
      <rgbColor rgb="FF993366"/>
      <rgbColor rgb="FFFFF2CC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2F8"/>
      <rgbColor rgb="FFE2F0D9"/>
      <rgbColor rgb="FFFFFDF2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75623"/>
      <rgbColor rgb="FF993300"/>
      <rgbColor rgb="FF993366"/>
      <rgbColor rgb="FF1F4E78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31"/>
    <col collapsed="false" customWidth="true" hidden="false" outlineLevel="0" max="3" min="3" style="1" width="16"/>
    <col collapsed="false" customWidth="true" hidden="false" outlineLevel="0" max="4" min="4" style="1" width="18"/>
    <col collapsed="false" customWidth="true" hidden="false" outlineLevel="0" max="5" min="5" style="1" width="40"/>
    <col collapsed="false" customWidth="true" hidden="false" outlineLevel="0" max="6" min="6" style="1" width="21"/>
    <col collapsed="false" customWidth="true" hidden="false" outlineLevel="0" max="7" min="7" style="1" width="16"/>
    <col collapsed="false" customWidth="true" hidden="false" outlineLevel="0" max="26" min="8" style="1" width="8.71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14.25" hidden="false" customHeight="true" outlineLevel="0" collapsed="false">
      <c r="A2" s="3"/>
      <c r="B2" s="3"/>
      <c r="C2" s="3"/>
      <c r="D2" s="3"/>
      <c r="E2" s="3"/>
      <c r="F2" s="3"/>
      <c r="G2" s="3"/>
    </row>
    <row r="3" customFormat="false" ht="15.75" hidden="false" customHeight="true" outlineLevel="0" collapsed="false">
      <c r="A3" s="4" t="s">
        <v>1</v>
      </c>
      <c r="B3" s="4"/>
      <c r="C3" s="3"/>
      <c r="D3" s="4" t="s">
        <v>2</v>
      </c>
      <c r="E3" s="4"/>
      <c r="F3" s="4"/>
      <c r="G3" s="3"/>
    </row>
    <row r="4" customFormat="false" ht="30" hidden="false" customHeight="true" outlineLevel="0" collapsed="false">
      <c r="A4" s="5" t="s">
        <v>3</v>
      </c>
      <c r="B4" s="6" t="s">
        <v>4</v>
      </c>
      <c r="C4" s="3"/>
      <c r="D4" s="5" t="s">
        <v>5</v>
      </c>
      <c r="E4" s="7" t="n">
        <f aca="false">COUNTIF($G$12:$G$111,"Completed")+COUNTIF($G$12:$G$111,"Incomplete")</f>
        <v>9</v>
      </c>
      <c r="F4" s="3"/>
      <c r="G4" s="3"/>
    </row>
    <row r="5" customFormat="false" ht="30" hidden="false" customHeight="true" outlineLevel="0" collapsed="false">
      <c r="A5" s="5" t="s">
        <v>6</v>
      </c>
      <c r="B5" s="6" t="s">
        <v>7</v>
      </c>
      <c r="C5" s="3"/>
      <c r="D5" s="5" t="s">
        <v>8</v>
      </c>
      <c r="E5" s="7" t="n">
        <f aca="false">COUNTIF($G$12:$G$111,"Completed")</f>
        <v>8</v>
      </c>
      <c r="F5" s="3"/>
      <c r="G5" s="3"/>
    </row>
    <row r="6" customFormat="false" ht="30" hidden="false" customHeight="true" outlineLevel="0" collapsed="false">
      <c r="A6" s="5" t="s">
        <v>9</v>
      </c>
      <c r="B6" s="6" t="s">
        <v>10</v>
      </c>
      <c r="C6" s="3"/>
      <c r="D6" s="5" t="s">
        <v>11</v>
      </c>
      <c r="E6" s="7" t="n">
        <f aca="false">COUNTIF($G$12:$G$111,"Incomplete")</f>
        <v>1</v>
      </c>
      <c r="F6" s="3"/>
      <c r="G6" s="3"/>
    </row>
    <row r="7" customFormat="false" ht="30" hidden="false" customHeight="true" outlineLevel="0" collapsed="false">
      <c r="A7" s="3"/>
      <c r="B7" s="3"/>
      <c r="C7" s="3"/>
      <c r="D7" s="5" t="s">
        <v>12</v>
      </c>
      <c r="E7" s="7" t="n">
        <f aca="false">COUNTIF('New Backlog'!$A$5:$A$104,"&lt;&gt;")</f>
        <v>1</v>
      </c>
      <c r="F7" s="3"/>
      <c r="G7" s="3"/>
    </row>
    <row r="8" customFormat="false" ht="15.75" hidden="false" customHeight="true" outlineLevel="0" collapsed="false">
      <c r="A8" s="3"/>
      <c r="B8" s="3"/>
      <c r="C8" s="3"/>
      <c r="D8" s="5" t="s">
        <v>13</v>
      </c>
      <c r="E8" s="8" t="n">
        <f aca="false">IFERROR(E5/E4,0)</f>
        <v>0.888888888888889</v>
      </c>
      <c r="F8" s="3"/>
      <c r="G8" s="3"/>
    </row>
    <row r="9" customFormat="false" ht="14.25" hidden="false" customHeight="true" outlineLevel="0" collapsed="false">
      <c r="A9" s="3"/>
      <c r="B9" s="3"/>
      <c r="C9" s="3"/>
      <c r="D9" s="3"/>
      <c r="E9" s="3"/>
      <c r="F9" s="3"/>
      <c r="G9" s="3"/>
    </row>
    <row r="10" customFormat="false" ht="15.75" hidden="false" customHeight="true" outlineLevel="0" collapsed="false">
      <c r="A10" s="4" t="s">
        <v>14</v>
      </c>
      <c r="B10" s="4"/>
      <c r="C10" s="4"/>
      <c r="D10" s="4"/>
      <c r="E10" s="4"/>
      <c r="F10" s="4"/>
      <c r="G10" s="4"/>
    </row>
    <row r="11" customFormat="false" ht="37.5" hidden="false" customHeight="true" outlineLevel="0" collapsed="false">
      <c r="A11" s="9" t="s">
        <v>15</v>
      </c>
      <c r="B11" s="9" t="s">
        <v>16</v>
      </c>
      <c r="C11" s="9" t="s">
        <v>17</v>
      </c>
      <c r="D11" s="9" t="s">
        <v>18</v>
      </c>
      <c r="E11" s="9" t="s">
        <v>19</v>
      </c>
      <c r="F11" s="9" t="s">
        <v>20</v>
      </c>
      <c r="G11" s="9" t="s">
        <v>21</v>
      </c>
    </row>
    <row r="12" customFormat="false" ht="61.5" hidden="false" customHeight="true" outlineLevel="0" collapsed="false">
      <c r="A12" s="10" t="s">
        <v>22</v>
      </c>
      <c r="B12" s="11" t="s">
        <v>23</v>
      </c>
      <c r="C12" s="11" t="s">
        <v>24</v>
      </c>
      <c r="D12" s="11" t="s">
        <v>25</v>
      </c>
      <c r="E12" s="11"/>
      <c r="F12" s="11"/>
      <c r="G12" s="12" t="str">
        <f aca="false">IF(A12="","",IF(COUNTIF($A$12:A12,A12)&gt;1,"",IF(COUNTIFS($A$12:$A$111,A12,$C$12:$C$111,"Completed")=COUNTIF($A$12:$A$111,A12),"Completed","Incomplete")))</f>
        <v>Completed</v>
      </c>
    </row>
    <row r="13" customFormat="false" ht="46.5" hidden="false" customHeight="true" outlineLevel="0" collapsed="false">
      <c r="A13" s="13" t="s">
        <v>22</v>
      </c>
      <c r="B13" s="6" t="s">
        <v>26</v>
      </c>
      <c r="C13" s="6" t="s">
        <v>24</v>
      </c>
      <c r="D13" s="6" t="s">
        <v>25</v>
      </c>
      <c r="E13" s="6"/>
      <c r="F13" s="6"/>
      <c r="G13" s="14" t="str">
        <f aca="false">IF(A13="","",IF(COUNTIF($A$12:A13,A13)&gt;1,"",IF(COUNTIFS($A$12:$A$111,A13,$C$12:$C$111,"Completed")=COUNTIF($A$12:$A$111,A13),"Completed","Incomplete")))</f>
        <v/>
      </c>
    </row>
    <row r="14" customFormat="false" ht="61.5" hidden="false" customHeight="true" outlineLevel="0" collapsed="false">
      <c r="A14" s="13" t="s">
        <v>22</v>
      </c>
      <c r="B14" s="6" t="s">
        <v>27</v>
      </c>
      <c r="C14" s="6" t="s">
        <v>24</v>
      </c>
      <c r="D14" s="6" t="s">
        <v>25</v>
      </c>
      <c r="E14" s="6"/>
      <c r="F14" s="6"/>
      <c r="G14" s="14" t="str">
        <f aca="false">IF(A14="","",IF(COUNTIF($A$12:A14,A14)&gt;1,"",IF(COUNTIFS($A$12:$A$111,A14,$C$12:$C$111,"Completed")=COUNTIF($A$12:$A$111,A14),"Completed","Incomplete")))</f>
        <v/>
      </c>
    </row>
    <row r="15" customFormat="false" ht="77.25" hidden="false" customHeight="true" outlineLevel="0" collapsed="false">
      <c r="A15" s="13" t="s">
        <v>22</v>
      </c>
      <c r="B15" s="6" t="s">
        <v>28</v>
      </c>
      <c r="C15" s="6" t="s">
        <v>24</v>
      </c>
      <c r="D15" s="6" t="s">
        <v>25</v>
      </c>
      <c r="E15" s="6"/>
      <c r="F15" s="6"/>
      <c r="G15" s="14" t="str">
        <f aca="false">IF(A15="","",IF(COUNTIF($A$12:A15,A15)&gt;1,"",IF(COUNTIFS($A$12:$A$111,A15,$C$12:$C$111,"Completed")=COUNTIF($A$12:$A$111,A15),"Completed","Incomplete")))</f>
        <v/>
      </c>
    </row>
    <row r="16" customFormat="false" ht="46.5" hidden="false" customHeight="true" outlineLevel="0" collapsed="false">
      <c r="A16" s="13" t="s">
        <v>22</v>
      </c>
      <c r="B16" s="6" t="s">
        <v>29</v>
      </c>
      <c r="C16" s="6" t="s">
        <v>24</v>
      </c>
      <c r="D16" s="6" t="s">
        <v>25</v>
      </c>
      <c r="E16" s="6"/>
      <c r="F16" s="6"/>
      <c r="G16" s="14" t="str">
        <f aca="false">IF(A16="","",IF(COUNTIF($A$12:A16,A16)&gt;1,"",IF(COUNTIFS($A$12:$A$111,A16,$C$12:$C$111,"Completed")=COUNTIF($A$12:$A$111,A16),"Completed","Incomplete")))</f>
        <v/>
      </c>
    </row>
    <row r="17" customFormat="false" ht="46.5" hidden="false" customHeight="true" outlineLevel="0" collapsed="false">
      <c r="A17" s="13" t="s">
        <v>22</v>
      </c>
      <c r="B17" s="6" t="s">
        <v>30</v>
      </c>
      <c r="C17" s="6" t="s">
        <v>24</v>
      </c>
      <c r="D17" s="6" t="s">
        <v>25</v>
      </c>
      <c r="E17" s="6"/>
      <c r="F17" s="6"/>
      <c r="G17" s="14" t="str">
        <f aca="false">IF(A17="","",IF(COUNTIF($A$12:A17,A17)&gt;1,"",IF(COUNTIFS($A$12:$A$111,A17,$C$12:$C$111,"Completed")=COUNTIF($A$12:$A$111,A17),"Completed","Incomplete")))</f>
        <v/>
      </c>
    </row>
    <row r="18" customFormat="false" ht="61.5" hidden="false" customHeight="true" outlineLevel="0" collapsed="false">
      <c r="A18" s="13" t="s">
        <v>22</v>
      </c>
      <c r="B18" s="6" t="s">
        <v>31</v>
      </c>
      <c r="C18" s="6" t="s">
        <v>24</v>
      </c>
      <c r="D18" s="6" t="s">
        <v>25</v>
      </c>
      <c r="E18" s="6"/>
      <c r="F18" s="6"/>
      <c r="G18" s="14" t="str">
        <f aca="false">IF(A18="","",IF(COUNTIF($A$12:A18,A18)&gt;1,"",IF(COUNTIFS($A$12:$A$111,A18,$C$12:$C$111,"Completed")=COUNTIF($A$12:$A$111,A18),"Completed","Incomplete")))</f>
        <v/>
      </c>
    </row>
    <row r="19" customFormat="false" ht="61.5" hidden="false" customHeight="true" outlineLevel="0" collapsed="false">
      <c r="A19" s="13" t="s">
        <v>22</v>
      </c>
      <c r="B19" s="6" t="s">
        <v>32</v>
      </c>
      <c r="C19" s="6" t="s">
        <v>24</v>
      </c>
      <c r="D19" s="6" t="s">
        <v>25</v>
      </c>
      <c r="E19" s="6"/>
      <c r="F19" s="6"/>
      <c r="G19" s="14" t="str">
        <f aca="false">IF(A19="","",IF(COUNTIF($A$12:A19,A19)&gt;1,"",IF(COUNTIFS($A$12:$A$111,A19,$C$12:$C$111,"Completed")=COUNTIF($A$12:$A$111,A19),"Completed","Incomplete")))</f>
        <v/>
      </c>
    </row>
    <row r="20" customFormat="false" ht="93" hidden="false" customHeight="true" outlineLevel="0" collapsed="false">
      <c r="A20" s="13" t="s">
        <v>22</v>
      </c>
      <c r="B20" s="6" t="s">
        <v>33</v>
      </c>
      <c r="C20" s="6" t="s">
        <v>24</v>
      </c>
      <c r="D20" s="6" t="s">
        <v>34</v>
      </c>
      <c r="E20" s="6"/>
      <c r="F20" s="6"/>
      <c r="G20" s="14" t="str">
        <f aca="false">IF(A20="","",IF(COUNTIF($A$12:A20,A20)&gt;1,"",IF(COUNTIFS($A$12:$A$111,A20,$C$12:$C$111,"Completed")=COUNTIF($A$12:$A$111,A20),"Completed","Incomplete")))</f>
        <v/>
      </c>
    </row>
    <row r="21" customFormat="false" ht="77.25" hidden="false" customHeight="true" outlineLevel="0" collapsed="false">
      <c r="A21" s="13" t="s">
        <v>22</v>
      </c>
      <c r="B21" s="6" t="s">
        <v>35</v>
      </c>
      <c r="C21" s="6" t="s">
        <v>24</v>
      </c>
      <c r="D21" s="6" t="s">
        <v>34</v>
      </c>
      <c r="E21" s="6"/>
      <c r="F21" s="6"/>
      <c r="G21" s="14" t="str">
        <f aca="false">IF(A21="","",IF(COUNTIF($A$12:A21,A21)&gt;1,"",IF(COUNTIFS($A$12:$A$111,A21,$C$12:$C$111,"Completed")=COUNTIF($A$12:$A$111,A21),"Completed","Incomplete")))</f>
        <v/>
      </c>
    </row>
    <row r="22" customFormat="false" ht="77.25" hidden="false" customHeight="true" outlineLevel="0" collapsed="false">
      <c r="A22" s="13" t="s">
        <v>22</v>
      </c>
      <c r="B22" s="6" t="s">
        <v>36</v>
      </c>
      <c r="C22" s="6" t="s">
        <v>24</v>
      </c>
      <c r="D22" s="6" t="s">
        <v>34</v>
      </c>
      <c r="E22" s="6"/>
      <c r="F22" s="6"/>
      <c r="G22" s="14" t="str">
        <f aca="false">IF(A22="","",IF(COUNTIF($A$12:A22,A22)&gt;1,"",IF(COUNTIFS($A$12:$A$111,A22,$C$12:$C$111,"Completed")=COUNTIF($A$12:$A$111,A22),"Completed","Incomplete")))</f>
        <v/>
      </c>
    </row>
    <row r="23" customFormat="false" ht="77.25" hidden="false" customHeight="true" outlineLevel="0" collapsed="false">
      <c r="A23" s="13" t="s">
        <v>22</v>
      </c>
      <c r="B23" s="6" t="s">
        <v>37</v>
      </c>
      <c r="C23" s="6" t="s">
        <v>24</v>
      </c>
      <c r="D23" s="6" t="s">
        <v>34</v>
      </c>
      <c r="E23" s="6"/>
      <c r="F23" s="6"/>
      <c r="G23" s="14" t="str">
        <f aca="false">IF(A23="","",IF(COUNTIF($A$12:A23,A23)&gt;1,"",IF(COUNTIFS($A$12:$A$111,A23,$C$12:$C$111,"Completed")=COUNTIF($A$12:$A$111,A23),"Completed","Incomplete")))</f>
        <v/>
      </c>
    </row>
    <row r="24" customFormat="false" ht="77.25" hidden="false" customHeight="true" outlineLevel="0" collapsed="false">
      <c r="A24" s="13" t="s">
        <v>22</v>
      </c>
      <c r="B24" s="6" t="s">
        <v>38</v>
      </c>
      <c r="C24" s="6" t="s">
        <v>24</v>
      </c>
      <c r="D24" s="6" t="s">
        <v>34</v>
      </c>
      <c r="E24" s="6"/>
      <c r="F24" s="6"/>
      <c r="G24" s="14" t="str">
        <f aca="false">IF(A24="","",IF(COUNTIF($A$12:A24,A24)&gt;1,"",IF(COUNTIFS($A$12:$A$111,A24,$C$12:$C$111,"Completed")=COUNTIF($A$12:$A$111,A24),"Completed","Incomplete")))</f>
        <v/>
      </c>
    </row>
    <row r="25" customFormat="false" ht="46.5" hidden="false" customHeight="true" outlineLevel="0" collapsed="false">
      <c r="A25" s="13" t="s">
        <v>39</v>
      </c>
      <c r="B25" s="6" t="s">
        <v>40</v>
      </c>
      <c r="C25" s="6" t="s">
        <v>24</v>
      </c>
      <c r="D25" s="6" t="s">
        <v>25</v>
      </c>
      <c r="E25" s="6"/>
      <c r="F25" s="6"/>
      <c r="G25" s="14" t="str">
        <f aca="false">IF(A25="","",IF(COUNTIF($A$12:A25,A25)&gt;1,"",IF(COUNTIFS($A$12:$A$111,A25,$C$12:$C$111,"Completed")=COUNTIF($A$12:$A$111,A25),"Completed","Incomplete")))</f>
        <v>Completed</v>
      </c>
    </row>
    <row r="26" customFormat="false" ht="46.5" hidden="false" customHeight="true" outlineLevel="0" collapsed="false">
      <c r="A26" s="13" t="s">
        <v>39</v>
      </c>
      <c r="B26" s="6" t="s">
        <v>41</v>
      </c>
      <c r="C26" s="6" t="s">
        <v>24</v>
      </c>
      <c r="D26" s="6" t="s">
        <v>25</v>
      </c>
      <c r="E26" s="6"/>
      <c r="F26" s="6"/>
      <c r="G26" s="14" t="str">
        <f aca="false">IF(A26="","",IF(COUNTIF($A$12:A26,A26)&gt;1,"",IF(COUNTIFS($A$12:$A$111,A26,$C$12:$C$111,"Completed")=COUNTIF($A$12:$A$111,A26),"Completed","Incomplete")))</f>
        <v/>
      </c>
    </row>
    <row r="27" customFormat="false" ht="61.5" hidden="false" customHeight="true" outlineLevel="0" collapsed="false">
      <c r="A27" s="13" t="s">
        <v>39</v>
      </c>
      <c r="B27" s="6" t="s">
        <v>42</v>
      </c>
      <c r="C27" s="6" t="s">
        <v>24</v>
      </c>
      <c r="D27" s="6" t="s">
        <v>25</v>
      </c>
      <c r="E27" s="6"/>
      <c r="F27" s="6"/>
      <c r="G27" s="14" t="str">
        <f aca="false">IF(A27="","",IF(COUNTIF($A$12:A27,A27)&gt;1,"",IF(COUNTIFS($A$12:$A$111,A27,$C$12:$C$111,"Completed")=COUNTIF($A$12:$A$111,A27),"Completed","Incomplete")))</f>
        <v/>
      </c>
    </row>
    <row r="28" customFormat="false" ht="46.5" hidden="false" customHeight="true" outlineLevel="0" collapsed="false">
      <c r="A28" s="13" t="s">
        <v>39</v>
      </c>
      <c r="B28" s="6" t="s">
        <v>43</v>
      </c>
      <c r="C28" s="6" t="s">
        <v>24</v>
      </c>
      <c r="D28" s="6" t="s">
        <v>25</v>
      </c>
      <c r="E28" s="6"/>
      <c r="F28" s="6"/>
      <c r="G28" s="14" t="str">
        <f aca="false">IF(A28="","",IF(COUNTIF($A$12:A28,A28)&gt;1,"",IF(COUNTIFS($A$12:$A$111,A28,$C$12:$C$111,"Completed")=COUNTIF($A$12:$A$111,A28),"Completed","Incomplete")))</f>
        <v/>
      </c>
    </row>
    <row r="29" customFormat="false" ht="46.5" hidden="false" customHeight="true" outlineLevel="0" collapsed="false">
      <c r="A29" s="13" t="s">
        <v>39</v>
      </c>
      <c r="B29" s="6" t="s">
        <v>44</v>
      </c>
      <c r="C29" s="6" t="s">
        <v>24</v>
      </c>
      <c r="D29" s="6" t="s">
        <v>25</v>
      </c>
      <c r="E29" s="6"/>
      <c r="F29" s="6"/>
      <c r="G29" s="14" t="str">
        <f aca="false">IF(A29="","",IF(COUNTIF($A$12:A29,A29)&gt;1,"",IF(COUNTIFS($A$12:$A$111,A29,$C$12:$C$111,"Completed")=COUNTIF($A$12:$A$111,A29),"Completed","Incomplete")))</f>
        <v/>
      </c>
    </row>
    <row r="30" customFormat="false" ht="61.5" hidden="false" customHeight="true" outlineLevel="0" collapsed="false">
      <c r="A30" s="13" t="s">
        <v>39</v>
      </c>
      <c r="B30" s="6" t="s">
        <v>45</v>
      </c>
      <c r="C30" s="6" t="s">
        <v>24</v>
      </c>
      <c r="D30" s="6" t="s">
        <v>46</v>
      </c>
      <c r="E30" s="6"/>
      <c r="F30" s="6"/>
      <c r="G30" s="14" t="str">
        <f aca="false">IF(A30="","",IF(COUNTIF($A$12:A30,A30)&gt;1,"",IF(COUNTIFS($A$12:$A$111,A30,$C$12:$C$111,"Completed")=COUNTIF($A$12:$A$111,A30),"Completed","Incomplete")))</f>
        <v/>
      </c>
    </row>
    <row r="31" customFormat="false" ht="61.5" hidden="false" customHeight="true" outlineLevel="0" collapsed="false">
      <c r="A31" s="13" t="s">
        <v>39</v>
      </c>
      <c r="B31" s="6" t="s">
        <v>47</v>
      </c>
      <c r="C31" s="6" t="s">
        <v>24</v>
      </c>
      <c r="D31" s="6" t="s">
        <v>46</v>
      </c>
      <c r="E31" s="6"/>
      <c r="F31" s="6"/>
      <c r="G31" s="14" t="str">
        <f aca="false">IF(A31="","",IF(COUNTIF($A$12:A31,A31)&gt;1,"",IF(COUNTIFS($A$12:$A$111,A31,$C$12:$C$111,"Completed")=COUNTIF($A$12:$A$111,A31),"Completed","Incomplete")))</f>
        <v/>
      </c>
    </row>
    <row r="32" customFormat="false" ht="46.5" hidden="false" customHeight="true" outlineLevel="0" collapsed="false">
      <c r="A32" s="13" t="s">
        <v>39</v>
      </c>
      <c r="B32" s="6" t="s">
        <v>48</v>
      </c>
      <c r="C32" s="6" t="s">
        <v>24</v>
      </c>
      <c r="D32" s="6" t="s">
        <v>46</v>
      </c>
      <c r="E32" s="6"/>
      <c r="F32" s="6"/>
      <c r="G32" s="14" t="str">
        <f aca="false">IF(A32="","",IF(COUNTIF($A$12:A32,A32)&gt;1,"",IF(COUNTIFS($A$12:$A$111,A32,$C$12:$C$111,"Completed")=COUNTIF($A$12:$A$111,A32),"Completed","Incomplete")))</f>
        <v/>
      </c>
    </row>
    <row r="33" customFormat="false" ht="46.5" hidden="false" customHeight="true" outlineLevel="0" collapsed="false">
      <c r="A33" s="13" t="s">
        <v>49</v>
      </c>
      <c r="B33" s="6" t="s">
        <v>50</v>
      </c>
      <c r="C33" s="6" t="s">
        <v>24</v>
      </c>
      <c r="D33" s="6" t="s">
        <v>25</v>
      </c>
      <c r="E33" s="6"/>
      <c r="F33" s="6"/>
      <c r="G33" s="14" t="str">
        <f aca="false">IF(A33="","",IF(COUNTIF($A$12:A33,A33)&gt;1,"",IF(COUNTIFS($A$12:$A$111,A33,$C$12:$C$111,"Completed")=COUNTIF($A$12:$A$111,A33),"Completed","Incomplete")))</f>
        <v>Completed</v>
      </c>
    </row>
    <row r="34" customFormat="false" ht="46.5" hidden="false" customHeight="true" outlineLevel="0" collapsed="false">
      <c r="A34" s="13" t="s">
        <v>49</v>
      </c>
      <c r="B34" s="6" t="s">
        <v>51</v>
      </c>
      <c r="C34" s="6" t="s">
        <v>24</v>
      </c>
      <c r="D34" s="6" t="s">
        <v>25</v>
      </c>
      <c r="E34" s="6"/>
      <c r="F34" s="6"/>
      <c r="G34" s="14" t="str">
        <f aca="false">IF(A34="","",IF(COUNTIF($A$12:A34,A34)&gt;1,"",IF(COUNTIFS($A$12:$A$111,A34,$C$12:$C$111,"Completed")=COUNTIF($A$12:$A$111,A34),"Completed","Incomplete")))</f>
        <v/>
      </c>
    </row>
    <row r="35" customFormat="false" ht="77.25" hidden="false" customHeight="true" outlineLevel="0" collapsed="false">
      <c r="A35" s="13" t="s">
        <v>49</v>
      </c>
      <c r="B35" s="6" t="s">
        <v>52</v>
      </c>
      <c r="C35" s="6" t="s">
        <v>24</v>
      </c>
      <c r="D35" s="6" t="s">
        <v>25</v>
      </c>
      <c r="E35" s="6"/>
      <c r="F35" s="6"/>
      <c r="G35" s="14" t="str">
        <f aca="false">IF(A35="","",IF(COUNTIF($A$12:A35,A35)&gt;1,"",IF(COUNTIFS($A$12:$A$111,A35,$C$12:$C$111,"Completed")=COUNTIF($A$12:$A$111,A35),"Completed","Incomplete")))</f>
        <v/>
      </c>
    </row>
    <row r="36" customFormat="false" ht="46.5" hidden="false" customHeight="true" outlineLevel="0" collapsed="false">
      <c r="A36" s="13" t="s">
        <v>49</v>
      </c>
      <c r="B36" s="6" t="s">
        <v>53</v>
      </c>
      <c r="C36" s="6" t="s">
        <v>24</v>
      </c>
      <c r="D36" s="6" t="s">
        <v>25</v>
      </c>
      <c r="E36" s="6"/>
      <c r="F36" s="6"/>
      <c r="G36" s="14" t="str">
        <f aca="false">IF(A36="","",IF(COUNTIF($A$12:A36,A36)&gt;1,"",IF(COUNTIFS($A$12:$A$111,A36,$C$12:$C$111,"Completed")=COUNTIF($A$12:$A$111,A36),"Completed","Incomplete")))</f>
        <v/>
      </c>
    </row>
    <row r="37" customFormat="false" ht="46.5" hidden="false" customHeight="true" outlineLevel="0" collapsed="false">
      <c r="A37" s="13" t="s">
        <v>49</v>
      </c>
      <c r="B37" s="6" t="s">
        <v>54</v>
      </c>
      <c r="C37" s="6" t="s">
        <v>24</v>
      </c>
      <c r="D37" s="6" t="s">
        <v>25</v>
      </c>
      <c r="E37" s="6"/>
      <c r="F37" s="6"/>
      <c r="G37" s="14" t="str">
        <f aca="false">IF(A37="","",IF(COUNTIF($A$12:A37,A37)&gt;1,"",IF(COUNTIFS($A$12:$A$111,A37,$C$12:$C$111,"Completed")=COUNTIF($A$12:$A$111,A37),"Completed","Incomplete")))</f>
        <v/>
      </c>
    </row>
    <row r="38" customFormat="false" ht="61.5" hidden="false" customHeight="true" outlineLevel="0" collapsed="false">
      <c r="A38" s="13" t="s">
        <v>49</v>
      </c>
      <c r="B38" s="6" t="s">
        <v>55</v>
      </c>
      <c r="C38" s="6" t="s">
        <v>24</v>
      </c>
      <c r="D38" s="6" t="s">
        <v>56</v>
      </c>
      <c r="E38" s="6"/>
      <c r="F38" s="6"/>
      <c r="G38" s="14" t="str">
        <f aca="false">IF(A38="","",IF(COUNTIF($A$12:A38,A38)&gt;1,"",IF(COUNTIFS($A$12:$A$111,A38,$C$12:$C$111,"Completed")=COUNTIF($A$12:$A$111,A38),"Completed","Incomplete")))</f>
        <v/>
      </c>
    </row>
    <row r="39" customFormat="false" ht="61.5" hidden="false" customHeight="true" outlineLevel="0" collapsed="false">
      <c r="A39" s="13" t="s">
        <v>49</v>
      </c>
      <c r="B39" s="6" t="s">
        <v>57</v>
      </c>
      <c r="C39" s="6" t="s">
        <v>24</v>
      </c>
      <c r="D39" s="6" t="s">
        <v>56</v>
      </c>
      <c r="E39" s="6"/>
      <c r="F39" s="6"/>
      <c r="G39" s="14" t="str">
        <f aca="false">IF(A39="","",IF(COUNTIF($A$12:A39,A39)&gt;1,"",IF(COUNTIFS($A$12:$A$111,A39,$C$12:$C$111,"Completed")=COUNTIF($A$12:$A$111,A39),"Completed","Incomplete")))</f>
        <v/>
      </c>
    </row>
    <row r="40" customFormat="false" ht="61.5" hidden="false" customHeight="true" outlineLevel="0" collapsed="false">
      <c r="A40" s="13" t="s">
        <v>49</v>
      </c>
      <c r="B40" s="6" t="s">
        <v>58</v>
      </c>
      <c r="C40" s="6" t="s">
        <v>24</v>
      </c>
      <c r="D40" s="6" t="s">
        <v>56</v>
      </c>
      <c r="E40" s="6"/>
      <c r="F40" s="6"/>
      <c r="G40" s="14" t="str">
        <f aca="false">IF(A40="","",IF(COUNTIF($A$12:A40,A40)&gt;1,"",IF(COUNTIFS($A$12:$A$111,A40,$C$12:$C$111,"Completed")=COUNTIF($A$12:$A$111,A40),"Completed","Incomplete")))</f>
        <v/>
      </c>
    </row>
    <row r="41" customFormat="false" ht="61.5" hidden="false" customHeight="true" outlineLevel="0" collapsed="false">
      <c r="A41" s="13" t="s">
        <v>59</v>
      </c>
      <c r="B41" s="6" t="s">
        <v>60</v>
      </c>
      <c r="C41" s="6" t="s">
        <v>24</v>
      </c>
      <c r="D41" s="6" t="s">
        <v>25</v>
      </c>
      <c r="E41" s="6"/>
      <c r="F41" s="6"/>
      <c r="G41" s="14" t="str">
        <f aca="false">IF(A41="","",IF(COUNTIF($A$12:A41,A41)&gt;1,"",IF(COUNTIFS($A$12:$A$111,A41,$C$12:$C$111,"Completed")=COUNTIF($A$12:$A$111,A41),"Completed","Incomplete")))</f>
        <v>Completed</v>
      </c>
    </row>
    <row r="42" customFormat="false" ht="61.5" hidden="false" customHeight="true" outlineLevel="0" collapsed="false">
      <c r="A42" s="13" t="s">
        <v>59</v>
      </c>
      <c r="B42" s="6" t="s">
        <v>61</v>
      </c>
      <c r="C42" s="6" t="s">
        <v>24</v>
      </c>
      <c r="D42" s="6" t="s">
        <v>25</v>
      </c>
      <c r="E42" s="6"/>
      <c r="F42" s="6"/>
      <c r="G42" s="14" t="str">
        <f aca="false">IF(A42="","",IF(COUNTIF($A$12:A42,A42)&gt;1,"",IF(COUNTIFS($A$12:$A$111,A42,$C$12:$C$111,"Completed")=COUNTIF($A$12:$A$111,A42),"Completed","Incomplete")))</f>
        <v/>
      </c>
    </row>
    <row r="43" customFormat="false" ht="46.5" hidden="false" customHeight="true" outlineLevel="0" collapsed="false">
      <c r="A43" s="13" t="s">
        <v>59</v>
      </c>
      <c r="B43" s="6" t="s">
        <v>62</v>
      </c>
      <c r="C43" s="6" t="s">
        <v>24</v>
      </c>
      <c r="D43" s="6" t="s">
        <v>25</v>
      </c>
      <c r="E43" s="6"/>
      <c r="F43" s="6"/>
      <c r="G43" s="14" t="str">
        <f aca="false">IF(A43="","",IF(COUNTIF($A$12:A43,A43)&gt;1,"",IF(COUNTIFS($A$12:$A$111,A43,$C$12:$C$111,"Completed")=COUNTIF($A$12:$A$111,A43),"Completed","Incomplete")))</f>
        <v/>
      </c>
    </row>
    <row r="44" customFormat="false" ht="61.5" hidden="false" customHeight="true" outlineLevel="0" collapsed="false">
      <c r="A44" s="13" t="s">
        <v>59</v>
      </c>
      <c r="B44" s="6" t="s">
        <v>63</v>
      </c>
      <c r="C44" s="6" t="s">
        <v>24</v>
      </c>
      <c r="D44" s="6" t="s">
        <v>64</v>
      </c>
      <c r="E44" s="6"/>
      <c r="F44" s="6"/>
      <c r="G44" s="14" t="str">
        <f aca="false">IF(A44="","",IF(COUNTIF($A$12:A44,A44)&gt;1,"",IF(COUNTIFS($A$12:$A$111,A44,$C$12:$C$111,"Completed")=COUNTIF($A$12:$A$111,A44),"Completed","Incomplete")))</f>
        <v/>
      </c>
    </row>
    <row r="45" customFormat="false" ht="77.25" hidden="false" customHeight="true" outlineLevel="0" collapsed="false">
      <c r="A45" s="13" t="s">
        <v>59</v>
      </c>
      <c r="B45" s="6" t="s">
        <v>65</v>
      </c>
      <c r="C45" s="6" t="s">
        <v>24</v>
      </c>
      <c r="D45" s="6" t="s">
        <v>64</v>
      </c>
      <c r="E45" s="6"/>
      <c r="F45" s="6"/>
      <c r="G45" s="14" t="str">
        <f aca="false">IF(A45="","",IF(COUNTIF($A$12:A45,A45)&gt;1,"",IF(COUNTIFS($A$12:$A$111,A45,$C$12:$C$111,"Completed")=COUNTIF($A$12:$A$111,A45),"Completed","Incomplete")))</f>
        <v/>
      </c>
    </row>
    <row r="46" customFormat="false" ht="61.5" hidden="false" customHeight="true" outlineLevel="0" collapsed="false">
      <c r="A46" s="13" t="s">
        <v>66</v>
      </c>
      <c r="B46" s="6" t="s">
        <v>67</v>
      </c>
      <c r="C46" s="6" t="s">
        <v>24</v>
      </c>
      <c r="D46" s="6" t="s">
        <v>25</v>
      </c>
      <c r="E46" s="6"/>
      <c r="F46" s="6"/>
      <c r="G46" s="14" t="str">
        <f aca="false">IF(A46="","",IF(COUNTIF($A$12:A46,A46)&gt;1,"",IF(COUNTIFS($A$12:$A$111,A46,$C$12:$C$111,"Completed")=COUNTIF($A$12:$A$111,A46),"Completed","Incomplete")))</f>
        <v>Completed</v>
      </c>
    </row>
    <row r="47" customFormat="false" ht="61.5" hidden="false" customHeight="true" outlineLevel="0" collapsed="false">
      <c r="A47" s="13" t="s">
        <v>66</v>
      </c>
      <c r="B47" s="6" t="s">
        <v>68</v>
      </c>
      <c r="C47" s="6" t="s">
        <v>24</v>
      </c>
      <c r="D47" s="6" t="s">
        <v>25</v>
      </c>
      <c r="E47" s="6"/>
      <c r="F47" s="6"/>
      <c r="G47" s="14" t="str">
        <f aca="false">IF(A47="","",IF(COUNTIF($A$12:A47,A47)&gt;1,"",IF(COUNTIFS($A$12:$A$111,A47,$C$12:$C$111,"Completed")=COUNTIF($A$12:$A$111,A47),"Completed","Incomplete")))</f>
        <v/>
      </c>
    </row>
    <row r="48" customFormat="false" ht="61.5" hidden="false" customHeight="true" outlineLevel="0" collapsed="false">
      <c r="A48" s="13" t="s">
        <v>66</v>
      </c>
      <c r="B48" s="6" t="s">
        <v>69</v>
      </c>
      <c r="C48" s="6" t="s">
        <v>24</v>
      </c>
      <c r="D48" s="6" t="s">
        <v>25</v>
      </c>
      <c r="E48" s="6"/>
      <c r="F48" s="6"/>
      <c r="G48" s="14" t="str">
        <f aca="false">IF(A48="","",IF(COUNTIF($A$12:A48,A48)&gt;1,"",IF(COUNTIFS($A$12:$A$111,A48,$C$12:$C$111,"Completed")=COUNTIF($A$12:$A$111,A48),"Completed","Incomplete")))</f>
        <v/>
      </c>
    </row>
    <row r="49" customFormat="false" ht="61.5" hidden="false" customHeight="true" outlineLevel="0" collapsed="false">
      <c r="A49" s="13" t="s">
        <v>66</v>
      </c>
      <c r="B49" s="6" t="s">
        <v>70</v>
      </c>
      <c r="C49" s="6" t="s">
        <v>24</v>
      </c>
      <c r="D49" s="6" t="s">
        <v>25</v>
      </c>
      <c r="E49" s="6"/>
      <c r="F49" s="6"/>
      <c r="G49" s="14" t="str">
        <f aca="false">IF(A49="","",IF(COUNTIF($A$12:A49,A49)&gt;1,"",IF(COUNTIFS($A$12:$A$111,A49,$C$12:$C$111,"Completed")=COUNTIF($A$12:$A$111,A49),"Completed","Incomplete")))</f>
        <v/>
      </c>
    </row>
    <row r="50" customFormat="false" ht="46.5" hidden="false" customHeight="true" outlineLevel="0" collapsed="false">
      <c r="A50" s="13" t="s">
        <v>66</v>
      </c>
      <c r="B50" s="6" t="s">
        <v>71</v>
      </c>
      <c r="C50" s="6" t="s">
        <v>24</v>
      </c>
      <c r="D50" s="6" t="s">
        <v>25</v>
      </c>
      <c r="E50" s="6"/>
      <c r="F50" s="6"/>
      <c r="G50" s="14" t="str">
        <f aca="false">IF(A50="","",IF(COUNTIF($A$12:A50,A50)&gt;1,"",IF(COUNTIFS($A$12:$A$111,A50,$C$12:$C$111,"Completed")=COUNTIF($A$12:$A$111,A50),"Completed","Incomplete")))</f>
        <v/>
      </c>
    </row>
    <row r="51" customFormat="false" ht="46.5" hidden="false" customHeight="true" outlineLevel="0" collapsed="false">
      <c r="A51" s="13" t="s">
        <v>66</v>
      </c>
      <c r="B51" s="6" t="s">
        <v>72</v>
      </c>
      <c r="C51" s="6" t="s">
        <v>24</v>
      </c>
      <c r="D51" s="6" t="s">
        <v>46</v>
      </c>
      <c r="E51" s="6"/>
      <c r="F51" s="6"/>
      <c r="G51" s="14" t="str">
        <f aca="false">IF(A51="","",IF(COUNTIF($A$12:A51,A51)&gt;1,"",IF(COUNTIFS($A$12:$A$111,A51,$C$12:$C$111,"Completed")=COUNTIF($A$12:$A$111,A51),"Completed","Incomplete")))</f>
        <v/>
      </c>
    </row>
    <row r="52" customFormat="false" ht="46.5" hidden="false" customHeight="true" outlineLevel="0" collapsed="false">
      <c r="A52" s="13" t="s">
        <v>66</v>
      </c>
      <c r="B52" s="6" t="s">
        <v>73</v>
      </c>
      <c r="C52" s="6" t="s">
        <v>24</v>
      </c>
      <c r="D52" s="6" t="s">
        <v>46</v>
      </c>
      <c r="E52" s="6"/>
      <c r="F52" s="6"/>
      <c r="G52" s="14" t="str">
        <f aca="false">IF(A52="","",IF(COUNTIF($A$12:A52,A52)&gt;1,"",IF(COUNTIFS($A$12:$A$111,A52,$C$12:$C$111,"Completed")=COUNTIF($A$12:$A$111,A52),"Completed","Incomplete")))</f>
        <v/>
      </c>
    </row>
    <row r="53" customFormat="false" ht="46.5" hidden="false" customHeight="true" outlineLevel="0" collapsed="false">
      <c r="A53" s="13" t="s">
        <v>66</v>
      </c>
      <c r="B53" s="6" t="s">
        <v>74</v>
      </c>
      <c r="C53" s="6" t="s">
        <v>24</v>
      </c>
      <c r="D53" s="6" t="s">
        <v>46</v>
      </c>
      <c r="E53" s="6"/>
      <c r="F53" s="6"/>
      <c r="G53" s="14" t="str">
        <f aca="false">IF(A53="","",IF(COUNTIF($A$12:A53,A53)&gt;1,"",IF(COUNTIFS($A$12:$A$111,A53,$C$12:$C$111,"Completed")=COUNTIF($A$12:$A$111,A53),"Completed","Incomplete")))</f>
        <v/>
      </c>
    </row>
    <row r="54" customFormat="false" ht="61.5" hidden="false" customHeight="true" outlineLevel="0" collapsed="false">
      <c r="A54" s="13" t="s">
        <v>66</v>
      </c>
      <c r="B54" s="6" t="s">
        <v>75</v>
      </c>
      <c r="C54" s="6" t="s">
        <v>24</v>
      </c>
      <c r="D54" s="6" t="s">
        <v>46</v>
      </c>
      <c r="E54" s="6"/>
      <c r="F54" s="6"/>
      <c r="G54" s="14" t="str">
        <f aca="false">IF(A54="","",IF(COUNTIF($A$12:A54,A54)&gt;1,"",IF(COUNTIFS($A$12:$A$111,A54,$C$12:$C$111,"Completed")=COUNTIF($A$12:$A$111,A54),"Completed","Incomplete")))</f>
        <v/>
      </c>
    </row>
    <row r="55" customFormat="false" ht="61.5" hidden="false" customHeight="true" outlineLevel="0" collapsed="false">
      <c r="A55" s="13" t="s">
        <v>76</v>
      </c>
      <c r="B55" s="6" t="s">
        <v>77</v>
      </c>
      <c r="C55" s="6" t="s">
        <v>24</v>
      </c>
      <c r="D55" s="6" t="s">
        <v>34</v>
      </c>
      <c r="E55" s="6"/>
      <c r="F55" s="6"/>
      <c r="G55" s="14" t="str">
        <f aca="false">IF(A55="","",IF(COUNTIF($A$12:A55,A55)&gt;1,"",IF(COUNTIFS($A$12:$A$111,A55,$C$12:$C$111,"Completed")=COUNTIF($A$12:$A$111,A55),"Completed","Incomplete")))</f>
        <v>Completed</v>
      </c>
    </row>
    <row r="56" customFormat="false" ht="46.5" hidden="false" customHeight="true" outlineLevel="0" collapsed="false">
      <c r="A56" s="13" t="s">
        <v>76</v>
      </c>
      <c r="B56" s="6" t="s">
        <v>78</v>
      </c>
      <c r="C56" s="6" t="s">
        <v>24</v>
      </c>
      <c r="D56" s="6" t="s">
        <v>34</v>
      </c>
      <c r="E56" s="6"/>
      <c r="F56" s="6"/>
      <c r="G56" s="14" t="str">
        <f aca="false">IF(A56="","",IF(COUNTIF($A$12:A56,A56)&gt;1,"",IF(COUNTIFS($A$12:$A$111,A56,$C$12:$C$111,"Completed")=COUNTIF($A$12:$A$111,A56),"Completed","Incomplete")))</f>
        <v/>
      </c>
    </row>
    <row r="57" customFormat="false" ht="61.5" hidden="false" customHeight="true" outlineLevel="0" collapsed="false">
      <c r="A57" s="13" t="s">
        <v>76</v>
      </c>
      <c r="B57" s="6" t="s">
        <v>79</v>
      </c>
      <c r="C57" s="6" t="s">
        <v>24</v>
      </c>
      <c r="D57" s="6" t="s">
        <v>34</v>
      </c>
      <c r="E57" s="6"/>
      <c r="F57" s="6"/>
      <c r="G57" s="14" t="str">
        <f aca="false">IF(A57="","",IF(COUNTIF($A$12:A57,A57)&gt;1,"",IF(COUNTIFS($A$12:$A$111,A57,$C$12:$C$111,"Completed")=COUNTIF($A$12:$A$111,A57),"Completed","Incomplete")))</f>
        <v/>
      </c>
    </row>
    <row r="58" customFormat="false" ht="46.5" hidden="false" customHeight="true" outlineLevel="0" collapsed="false">
      <c r="A58" s="13" t="s">
        <v>76</v>
      </c>
      <c r="B58" s="6" t="s">
        <v>80</v>
      </c>
      <c r="C58" s="6" t="s">
        <v>24</v>
      </c>
      <c r="D58" s="6" t="s">
        <v>34</v>
      </c>
      <c r="E58" s="6"/>
      <c r="F58" s="6"/>
      <c r="G58" s="14" t="str">
        <f aca="false">IF(A58="","",IF(COUNTIF($A$12:A58,A58)&gt;1,"",IF(COUNTIFS($A$12:$A$111,A58,$C$12:$C$111,"Completed")=COUNTIF($A$12:$A$111,A58),"Completed","Incomplete")))</f>
        <v/>
      </c>
    </row>
    <row r="59" customFormat="false" ht="61.5" hidden="false" customHeight="true" outlineLevel="0" collapsed="false">
      <c r="A59" s="13" t="s">
        <v>76</v>
      </c>
      <c r="B59" s="6" t="s">
        <v>81</v>
      </c>
      <c r="C59" s="6" t="s">
        <v>24</v>
      </c>
      <c r="D59" s="6" t="s">
        <v>34</v>
      </c>
      <c r="E59" s="6"/>
      <c r="F59" s="6"/>
      <c r="G59" s="14" t="str">
        <f aca="false">IF(A59="","",IF(COUNTIF($A$12:A59,A59)&gt;1,"",IF(COUNTIFS($A$12:$A$111,A59,$C$12:$C$111,"Completed")=COUNTIF($A$12:$A$111,A59),"Completed","Incomplete")))</f>
        <v/>
      </c>
    </row>
    <row r="60" customFormat="false" ht="61.5" hidden="false" customHeight="true" outlineLevel="0" collapsed="false">
      <c r="A60" s="13" t="s">
        <v>76</v>
      </c>
      <c r="B60" s="6" t="s">
        <v>82</v>
      </c>
      <c r="C60" s="6" t="s">
        <v>24</v>
      </c>
      <c r="D60" s="6" t="s">
        <v>34</v>
      </c>
      <c r="E60" s="6"/>
      <c r="F60" s="6"/>
      <c r="G60" s="14" t="str">
        <f aca="false">IF(A60="","",IF(COUNTIF($A$12:A60,A60)&gt;1,"",IF(COUNTIFS($A$12:$A$111,A60,$C$12:$C$111,"Completed")=COUNTIF($A$12:$A$111,A60),"Completed","Incomplete")))</f>
        <v/>
      </c>
    </row>
    <row r="61" customFormat="false" ht="61.5" hidden="false" customHeight="true" outlineLevel="0" collapsed="false">
      <c r="A61" s="13" t="s">
        <v>76</v>
      </c>
      <c r="B61" s="6" t="s">
        <v>83</v>
      </c>
      <c r="C61" s="6" t="s">
        <v>24</v>
      </c>
      <c r="D61" s="6" t="s">
        <v>25</v>
      </c>
      <c r="E61" s="6"/>
      <c r="F61" s="6"/>
      <c r="G61" s="14" t="str">
        <f aca="false">IF(A61="","",IF(COUNTIF($A$12:A61,A61)&gt;1,"",IF(COUNTIFS($A$12:$A$111,A61,$C$12:$C$111,"Completed")=COUNTIF($A$12:$A$111,A61),"Completed","Incomplete")))</f>
        <v/>
      </c>
    </row>
    <row r="62" customFormat="false" ht="61.5" hidden="false" customHeight="true" outlineLevel="0" collapsed="false">
      <c r="A62" s="13" t="s">
        <v>76</v>
      </c>
      <c r="B62" s="6" t="s">
        <v>84</v>
      </c>
      <c r="C62" s="6" t="s">
        <v>24</v>
      </c>
      <c r="D62" s="6" t="s">
        <v>25</v>
      </c>
      <c r="E62" s="6"/>
      <c r="F62" s="6"/>
      <c r="G62" s="14" t="str">
        <f aca="false">IF(A62="","",IF(COUNTIF($A$12:A62,A62)&gt;1,"",IF(COUNTIFS($A$12:$A$111,A62,$C$12:$C$111,"Completed")=COUNTIF($A$12:$A$111,A62),"Completed","Incomplete")))</f>
        <v/>
      </c>
    </row>
    <row r="63" customFormat="false" ht="61.5" hidden="false" customHeight="true" outlineLevel="0" collapsed="false">
      <c r="A63" s="13" t="s">
        <v>76</v>
      </c>
      <c r="B63" s="6" t="s">
        <v>85</v>
      </c>
      <c r="C63" s="6" t="s">
        <v>24</v>
      </c>
      <c r="D63" s="6" t="s">
        <v>25</v>
      </c>
      <c r="E63" s="6"/>
      <c r="F63" s="6"/>
      <c r="G63" s="14" t="str">
        <f aca="false">IF(A63="","",IF(COUNTIF($A$12:A63,A63)&gt;1,"",IF(COUNTIFS($A$12:$A$111,A63,$C$12:$C$111,"Completed")=COUNTIF($A$12:$A$111,A63),"Completed","Incomplete")))</f>
        <v/>
      </c>
    </row>
    <row r="64" customFormat="false" ht="61.5" hidden="false" customHeight="true" outlineLevel="0" collapsed="false">
      <c r="A64" s="13" t="s">
        <v>76</v>
      </c>
      <c r="B64" s="6" t="s">
        <v>86</v>
      </c>
      <c r="C64" s="6" t="s">
        <v>24</v>
      </c>
      <c r="D64" s="6" t="s">
        <v>25</v>
      </c>
      <c r="E64" s="6"/>
      <c r="F64" s="6"/>
      <c r="G64" s="14" t="str">
        <f aca="false">IF(A64="","",IF(COUNTIF($A$12:A64,A64)&gt;1,"",IF(COUNTIFS($A$12:$A$111,A64,$C$12:$C$111,"Completed")=COUNTIF($A$12:$A$111,A64),"Completed","Incomplete")))</f>
        <v/>
      </c>
    </row>
    <row r="65" customFormat="false" ht="61.5" hidden="false" customHeight="true" outlineLevel="0" collapsed="false">
      <c r="A65" s="13" t="s">
        <v>76</v>
      </c>
      <c r="B65" s="6" t="s">
        <v>87</v>
      </c>
      <c r="C65" s="6" t="s">
        <v>24</v>
      </c>
      <c r="D65" s="6" t="s">
        <v>25</v>
      </c>
      <c r="E65" s="6"/>
      <c r="F65" s="6"/>
      <c r="G65" s="14" t="str">
        <f aca="false">IF(A65="","",IF(COUNTIF($A$12:A65,A65)&gt;1,"",IF(COUNTIFS($A$12:$A$111,A65,$C$12:$C$111,"Completed")=COUNTIF($A$12:$A$111,A65),"Completed","Incomplete")))</f>
        <v/>
      </c>
    </row>
    <row r="66" customFormat="false" ht="61.5" hidden="false" customHeight="true" outlineLevel="0" collapsed="false">
      <c r="A66" s="13" t="s">
        <v>76</v>
      </c>
      <c r="B66" s="6" t="s">
        <v>88</v>
      </c>
      <c r="C66" s="6" t="s">
        <v>24</v>
      </c>
      <c r="D66" s="6" t="s">
        <v>25</v>
      </c>
      <c r="E66" s="6"/>
      <c r="F66" s="6"/>
      <c r="G66" s="14" t="str">
        <f aca="false">IF(A66="","",IF(COUNTIF($A$12:A66,A66)&gt;1,"",IF(COUNTIFS($A$12:$A$111,A66,$C$12:$C$111,"Completed")=COUNTIF($A$12:$A$111,A66),"Completed","Incomplete")))</f>
        <v/>
      </c>
    </row>
    <row r="67" customFormat="false" ht="46.5" hidden="false" customHeight="true" outlineLevel="0" collapsed="false">
      <c r="A67" s="13" t="s">
        <v>89</v>
      </c>
      <c r="B67" s="6" t="s">
        <v>90</v>
      </c>
      <c r="C67" s="6" t="s">
        <v>24</v>
      </c>
      <c r="D67" s="6" t="s">
        <v>64</v>
      </c>
      <c r="E67" s="6"/>
      <c r="F67" s="6"/>
      <c r="G67" s="14" t="str">
        <f aca="false">IF(A67="","",IF(COUNTIF($A$12:A67,A67)&gt;1,"",IF(COUNTIFS($A$12:$A$111,A67,$C$12:$C$111,"Completed")=COUNTIF($A$12:$A$111,A67),"Completed","Incomplete")))</f>
        <v>Completed</v>
      </c>
    </row>
    <row r="68" customFormat="false" ht="30.75" hidden="false" customHeight="true" outlineLevel="0" collapsed="false">
      <c r="A68" s="13" t="s">
        <v>89</v>
      </c>
      <c r="B68" s="6" t="s">
        <v>91</v>
      </c>
      <c r="C68" s="6" t="s">
        <v>24</v>
      </c>
      <c r="D68" s="6" t="s">
        <v>64</v>
      </c>
      <c r="E68" s="6"/>
      <c r="F68" s="6"/>
      <c r="G68" s="14" t="str">
        <f aca="false">IF(A68="","",IF(COUNTIF($A$12:A68,A68)&gt;1,"",IF(COUNTIFS($A$12:$A$111,A68,$C$12:$C$111,"Completed")=COUNTIF($A$12:$A$111,A68),"Completed","Incomplete")))</f>
        <v/>
      </c>
    </row>
    <row r="69" customFormat="false" ht="61.5" hidden="false" customHeight="true" outlineLevel="0" collapsed="false">
      <c r="A69" s="13" t="s">
        <v>89</v>
      </c>
      <c r="B69" s="6" t="s">
        <v>92</v>
      </c>
      <c r="C69" s="6" t="s">
        <v>24</v>
      </c>
      <c r="D69" s="6" t="s">
        <v>64</v>
      </c>
      <c r="E69" s="6"/>
      <c r="F69" s="6"/>
      <c r="G69" s="14" t="str">
        <f aca="false">IF(A69="","",IF(COUNTIF($A$12:A69,A69)&gt;1,"",IF(COUNTIFS($A$12:$A$111,A69,$C$12:$C$111,"Completed")=COUNTIF($A$12:$A$111,A69),"Completed","Incomplete")))</f>
        <v/>
      </c>
    </row>
    <row r="70" customFormat="false" ht="30.75" hidden="false" customHeight="true" outlineLevel="0" collapsed="false">
      <c r="A70" s="13" t="s">
        <v>89</v>
      </c>
      <c r="B70" s="6" t="s">
        <v>93</v>
      </c>
      <c r="C70" s="6" t="s">
        <v>24</v>
      </c>
      <c r="D70" s="6" t="s">
        <v>64</v>
      </c>
      <c r="E70" s="6"/>
      <c r="F70" s="6"/>
      <c r="G70" s="14" t="str">
        <f aca="false">IF(A70="","",IF(COUNTIF($A$12:A70,A70)&gt;1,"",IF(COUNTIFS($A$12:$A$111,A70,$C$12:$C$111,"Completed")=COUNTIF($A$12:$A$111,A70),"Completed","Incomplete")))</f>
        <v/>
      </c>
    </row>
    <row r="71" customFormat="false" ht="46.5" hidden="false" customHeight="true" outlineLevel="0" collapsed="false">
      <c r="A71" s="13" t="s">
        <v>89</v>
      </c>
      <c r="B71" s="6" t="s">
        <v>94</v>
      </c>
      <c r="C71" s="6" t="s">
        <v>24</v>
      </c>
      <c r="D71" s="6" t="s">
        <v>64</v>
      </c>
      <c r="E71" s="6"/>
      <c r="F71" s="6"/>
      <c r="G71" s="14" t="str">
        <f aca="false">IF(A71="","",IF(COUNTIF($A$12:A71,A71)&gt;1,"",IF(COUNTIFS($A$12:$A$111,A71,$C$12:$C$111,"Completed")=COUNTIF($A$12:$A$111,A71),"Completed","Incomplete")))</f>
        <v/>
      </c>
    </row>
    <row r="72" customFormat="false" ht="46.5" hidden="false" customHeight="true" outlineLevel="0" collapsed="false">
      <c r="A72" s="13" t="s">
        <v>89</v>
      </c>
      <c r="B72" s="6" t="s">
        <v>95</v>
      </c>
      <c r="C72" s="6" t="s">
        <v>24</v>
      </c>
      <c r="D72" s="6" t="s">
        <v>34</v>
      </c>
      <c r="E72" s="6"/>
      <c r="F72" s="6"/>
      <c r="G72" s="14" t="str">
        <f aca="false">IF(A72="","",IF(COUNTIF($A$12:A72,A72)&gt;1,"",IF(COUNTIFS($A$12:$A$111,A72,$C$12:$C$111,"Completed")=COUNTIF($A$12:$A$111,A72),"Completed","Incomplete")))</f>
        <v/>
      </c>
    </row>
    <row r="73" customFormat="false" ht="46.5" hidden="false" customHeight="true" outlineLevel="0" collapsed="false">
      <c r="A73" s="13" t="s">
        <v>89</v>
      </c>
      <c r="B73" s="6" t="s">
        <v>96</v>
      </c>
      <c r="C73" s="6" t="s">
        <v>24</v>
      </c>
      <c r="D73" s="6" t="s">
        <v>34</v>
      </c>
      <c r="E73" s="6"/>
      <c r="F73" s="6"/>
      <c r="G73" s="14" t="str">
        <f aca="false">IF(A73="","",IF(COUNTIF($A$12:A73,A73)&gt;1,"",IF(COUNTIFS($A$12:$A$111,A73,$C$12:$C$111,"Completed")=COUNTIF($A$12:$A$111,A73),"Completed","Incomplete")))</f>
        <v/>
      </c>
    </row>
    <row r="74" customFormat="false" ht="46.5" hidden="false" customHeight="true" outlineLevel="0" collapsed="false">
      <c r="A74" s="13" t="s">
        <v>89</v>
      </c>
      <c r="B74" s="6" t="s">
        <v>97</v>
      </c>
      <c r="C74" s="6" t="s">
        <v>24</v>
      </c>
      <c r="D74" s="6" t="s">
        <v>34</v>
      </c>
      <c r="E74" s="6"/>
      <c r="F74" s="6"/>
      <c r="G74" s="14" t="str">
        <f aca="false">IF(A74="","",IF(COUNTIF($A$12:A74,A74)&gt;1,"",IF(COUNTIFS($A$12:$A$111,A74,$C$12:$C$111,"Completed")=COUNTIF($A$12:$A$111,A74),"Completed","Incomplete")))</f>
        <v/>
      </c>
    </row>
    <row r="75" customFormat="false" ht="46.5" hidden="false" customHeight="true" outlineLevel="0" collapsed="false">
      <c r="A75" s="13" t="s">
        <v>98</v>
      </c>
      <c r="B75" s="6" t="s">
        <v>99</v>
      </c>
      <c r="C75" s="6" t="s">
        <v>24</v>
      </c>
      <c r="D75" s="6" t="s">
        <v>56</v>
      </c>
      <c r="E75" s="6"/>
      <c r="F75" s="6"/>
      <c r="G75" s="14" t="str">
        <f aca="false">IF(A75="","",IF(COUNTIF($A$12:A75,A75)&gt;1,"",IF(COUNTIFS($A$12:$A$111,A75,$C$12:$C$111,"Completed")=COUNTIF($A$12:$A$111,A75),"Completed","Incomplete")))</f>
        <v>Incomplete</v>
      </c>
    </row>
    <row r="76" customFormat="false" ht="46.5" hidden="false" customHeight="true" outlineLevel="0" collapsed="false">
      <c r="A76" s="13" t="s">
        <v>98</v>
      </c>
      <c r="B76" s="6" t="s">
        <v>100</v>
      </c>
      <c r="C76" s="6" t="s">
        <v>101</v>
      </c>
      <c r="D76" s="6" t="s">
        <v>56</v>
      </c>
      <c r="E76" s="6" t="s">
        <v>102</v>
      </c>
      <c r="F76" s="6" t="s">
        <v>103</v>
      </c>
      <c r="G76" s="14" t="str">
        <f aca="false">IF(A76="","",IF(COUNTIF($A$12:A76,A76)&gt;1,"",IF(COUNTIFS($A$12:$A$111,A76,$C$12:$C$111,"Completed")=COUNTIF($A$12:$A$111,A76),"Completed","Incomplete")))</f>
        <v/>
      </c>
    </row>
    <row r="77" customFormat="false" ht="77.25" hidden="false" customHeight="true" outlineLevel="0" collapsed="false">
      <c r="A77" s="13" t="s">
        <v>98</v>
      </c>
      <c r="B77" s="6" t="s">
        <v>104</v>
      </c>
      <c r="C77" s="6" t="s">
        <v>101</v>
      </c>
      <c r="D77" s="6" t="s">
        <v>56</v>
      </c>
      <c r="E77" s="6" t="s">
        <v>105</v>
      </c>
      <c r="F77" s="6" t="s">
        <v>103</v>
      </c>
      <c r="G77" s="14" t="str">
        <f aca="false">IF(A77="","",IF(COUNTIF($A$12:A77,A77)&gt;1,"",IF(COUNTIFS($A$12:$A$111,A77,$C$12:$C$111,"Completed")=COUNTIF($A$12:$A$111,A77),"Completed","Incomplete")))</f>
        <v/>
      </c>
    </row>
    <row r="78" customFormat="false" ht="46.5" hidden="false" customHeight="true" outlineLevel="0" collapsed="false">
      <c r="A78" s="13" t="s">
        <v>98</v>
      </c>
      <c r="B78" s="6" t="s">
        <v>106</v>
      </c>
      <c r="C78" s="6" t="s">
        <v>24</v>
      </c>
      <c r="D78" s="6" t="s">
        <v>56</v>
      </c>
      <c r="E78" s="6"/>
      <c r="F78" s="6"/>
      <c r="G78" s="14" t="str">
        <f aca="false">IF(A78="","",IF(COUNTIF($A$12:A78,A78)&gt;1,"",IF(COUNTIFS($A$12:$A$111,A78,$C$12:$C$111,"Completed")=COUNTIF($A$12:$A$111,A78),"Completed","Incomplete")))</f>
        <v/>
      </c>
    </row>
    <row r="79" customFormat="false" ht="46.5" hidden="false" customHeight="true" outlineLevel="0" collapsed="false">
      <c r="A79" s="13" t="s">
        <v>98</v>
      </c>
      <c r="B79" s="6" t="s">
        <v>107</v>
      </c>
      <c r="C79" s="6" t="s">
        <v>101</v>
      </c>
      <c r="D79" s="6" t="s">
        <v>56</v>
      </c>
      <c r="E79" s="6" t="s">
        <v>102</v>
      </c>
      <c r="F79" s="6" t="s">
        <v>103</v>
      </c>
      <c r="G79" s="14" t="str">
        <f aca="false">IF(A79="","",IF(COUNTIF($A$12:A79,A79)&gt;1,"",IF(COUNTIFS($A$12:$A$111,A79,$C$12:$C$111,"Completed")=COUNTIF($A$12:$A$111,A79),"Completed","Incomplete")))</f>
        <v/>
      </c>
    </row>
    <row r="80" customFormat="false" ht="77.25" hidden="false" customHeight="true" outlineLevel="0" collapsed="false">
      <c r="A80" s="13" t="s">
        <v>98</v>
      </c>
      <c r="B80" s="6" t="s">
        <v>108</v>
      </c>
      <c r="C80" s="6" t="s">
        <v>24</v>
      </c>
      <c r="D80" s="6" t="s">
        <v>64</v>
      </c>
      <c r="E80" s="6"/>
      <c r="F80" s="6"/>
      <c r="G80" s="14" t="str">
        <f aca="false">IF(A80="","",IF(COUNTIF($A$12:A80,A80)&gt;1,"",IF(COUNTIFS($A$12:$A$111,A80,$C$12:$C$111,"Completed")=COUNTIF($A$12:$A$111,A80),"Completed","Incomplete")))</f>
        <v/>
      </c>
    </row>
    <row r="81" customFormat="false" ht="61.5" hidden="false" customHeight="true" outlineLevel="0" collapsed="false">
      <c r="A81" s="13" t="s">
        <v>98</v>
      </c>
      <c r="B81" s="6" t="s">
        <v>109</v>
      </c>
      <c r="C81" s="6" t="s">
        <v>101</v>
      </c>
      <c r="D81" s="6" t="s">
        <v>64</v>
      </c>
      <c r="E81" s="6" t="s">
        <v>110</v>
      </c>
      <c r="F81" s="6" t="s">
        <v>103</v>
      </c>
      <c r="G81" s="14" t="str">
        <f aca="false">IF(A81="","",IF(COUNTIF($A$12:A81,A81)&gt;1,"",IF(COUNTIFS($A$12:$A$111,A81,$C$12:$C$111,"Completed")=COUNTIF($A$12:$A$111,A81),"Completed","Incomplete")))</f>
        <v/>
      </c>
    </row>
    <row r="82" customFormat="false" ht="77.25" hidden="false" customHeight="true" outlineLevel="0" collapsed="false">
      <c r="A82" s="13" t="s">
        <v>98</v>
      </c>
      <c r="B82" s="6" t="s">
        <v>111</v>
      </c>
      <c r="C82" s="6" t="s">
        <v>24</v>
      </c>
      <c r="D82" s="6" t="s">
        <v>64</v>
      </c>
      <c r="E82" s="6"/>
      <c r="F82" s="6"/>
      <c r="G82" s="14" t="str">
        <f aca="false">IF(A82="","",IF(COUNTIF($A$12:A82,A82)&gt;1,"",IF(COUNTIFS($A$12:$A$111,A82,$C$12:$C$111,"Completed")=COUNTIF($A$12:$A$111,A82),"Completed","Incomplete")))</f>
        <v/>
      </c>
    </row>
    <row r="83" customFormat="false" ht="46.5" hidden="false" customHeight="true" outlineLevel="0" collapsed="false">
      <c r="A83" s="13" t="s">
        <v>112</v>
      </c>
      <c r="B83" s="6" t="s">
        <v>113</v>
      </c>
      <c r="C83" s="6" t="s">
        <v>24</v>
      </c>
      <c r="D83" s="6" t="s">
        <v>46</v>
      </c>
      <c r="E83" s="6"/>
      <c r="F83" s="6"/>
      <c r="G83" s="14" t="str">
        <f aca="false">IF(A83="","",IF(COUNTIF($A$12:A83,A83)&gt;1,"",IF(COUNTIFS($A$12:$A$111,A83,$C$12:$C$111,"Completed")=COUNTIF($A$12:$A$111,A83),"Completed","Incomplete")))</f>
        <v>Completed</v>
      </c>
    </row>
    <row r="84" customFormat="false" ht="46.5" hidden="false" customHeight="true" outlineLevel="0" collapsed="false">
      <c r="A84" s="13" t="s">
        <v>112</v>
      </c>
      <c r="B84" s="6" t="s">
        <v>114</v>
      </c>
      <c r="C84" s="6" t="s">
        <v>24</v>
      </c>
      <c r="D84" s="6" t="s">
        <v>46</v>
      </c>
      <c r="E84" s="6"/>
      <c r="F84" s="6"/>
      <c r="G84" s="14" t="str">
        <f aca="false">IF(A84="","",IF(COUNTIF($A$12:A84,A84)&gt;1,"",IF(COUNTIFS($A$12:$A$111,A84,$C$12:$C$111,"Completed")=COUNTIF($A$12:$A$111,A84),"Completed","Incomplete")))</f>
        <v/>
      </c>
    </row>
    <row r="85" customFormat="false" ht="46.5" hidden="false" customHeight="true" outlineLevel="0" collapsed="false">
      <c r="A85" s="13" t="s">
        <v>112</v>
      </c>
      <c r="B85" s="6" t="s">
        <v>115</v>
      </c>
      <c r="C85" s="6" t="s">
        <v>24</v>
      </c>
      <c r="D85" s="6" t="s">
        <v>46</v>
      </c>
      <c r="E85" s="6"/>
      <c r="F85" s="6"/>
      <c r="G85" s="14" t="str">
        <f aca="false">IF(A85="","",IF(COUNTIF($A$12:A85,A85)&gt;1,"",IF(COUNTIFS($A$12:$A$111,A85,$C$12:$C$111,"Completed")=COUNTIF($A$12:$A$111,A85),"Completed","Incomplete")))</f>
        <v/>
      </c>
    </row>
    <row r="86" customFormat="false" ht="46.5" hidden="false" customHeight="true" outlineLevel="0" collapsed="false">
      <c r="A86" s="13" t="s">
        <v>112</v>
      </c>
      <c r="B86" s="6" t="s">
        <v>116</v>
      </c>
      <c r="C86" s="6" t="s">
        <v>24</v>
      </c>
      <c r="D86" s="6" t="s">
        <v>46</v>
      </c>
      <c r="E86" s="6"/>
      <c r="F86" s="6"/>
      <c r="G86" s="14" t="str">
        <f aca="false">IF(A86="","",IF(COUNTIF($A$12:A86,A86)&gt;1,"",IF(COUNTIFS($A$12:$A$111,A86,$C$12:$C$111,"Completed")=COUNTIF($A$12:$A$111,A86),"Completed","Incomplete")))</f>
        <v/>
      </c>
    </row>
    <row r="87" customFormat="false" ht="46.5" hidden="false" customHeight="true" outlineLevel="0" collapsed="false">
      <c r="A87" s="13" t="s">
        <v>112</v>
      </c>
      <c r="B87" s="6" t="s">
        <v>117</v>
      </c>
      <c r="C87" s="6" t="s">
        <v>24</v>
      </c>
      <c r="D87" s="6" t="s">
        <v>46</v>
      </c>
      <c r="E87" s="6"/>
      <c r="F87" s="6"/>
      <c r="G87" s="14" t="str">
        <f aca="false">IF(A87="","",IF(COUNTIF($A$12:A87,A87)&gt;1,"",IF(COUNTIFS($A$12:$A$111,A87,$C$12:$C$111,"Completed")=COUNTIF($A$12:$A$111,A87),"Completed","Incomplete")))</f>
        <v/>
      </c>
    </row>
    <row r="88" customFormat="false" ht="46.5" hidden="false" customHeight="true" outlineLevel="0" collapsed="false">
      <c r="A88" s="13" t="s">
        <v>112</v>
      </c>
      <c r="B88" s="6" t="s">
        <v>118</v>
      </c>
      <c r="C88" s="6" t="s">
        <v>24</v>
      </c>
      <c r="D88" s="6" t="s">
        <v>56</v>
      </c>
      <c r="E88" s="6"/>
      <c r="F88" s="6"/>
      <c r="G88" s="14" t="str">
        <f aca="false">IF(A88="","",IF(COUNTIF($A$12:A88,A88)&gt;1,"",IF(COUNTIFS($A$12:$A$111,A88,$C$12:$C$111,"Completed")=COUNTIF($A$12:$A$111,A88),"Completed","Incomplete")))</f>
        <v/>
      </c>
    </row>
    <row r="89" customFormat="false" ht="61.5" hidden="false" customHeight="true" outlineLevel="0" collapsed="false">
      <c r="A89" s="13" t="s">
        <v>112</v>
      </c>
      <c r="B89" s="6" t="s">
        <v>119</v>
      </c>
      <c r="C89" s="6" t="s">
        <v>24</v>
      </c>
      <c r="D89" s="6" t="s">
        <v>56</v>
      </c>
      <c r="E89" s="6"/>
      <c r="F89" s="6"/>
      <c r="G89" s="14" t="str">
        <f aca="false">IF(A89="","",IF(COUNTIF($A$12:A89,A89)&gt;1,"",IF(COUNTIFS($A$12:$A$111,A89,$C$12:$C$111,"Completed")=COUNTIF($A$12:$A$111,A89),"Completed","Incomplete")))</f>
        <v/>
      </c>
    </row>
    <row r="90" customFormat="false" ht="61.5" hidden="false" customHeight="true" outlineLevel="0" collapsed="false">
      <c r="A90" s="13" t="s">
        <v>112</v>
      </c>
      <c r="B90" s="6" t="s">
        <v>120</v>
      </c>
      <c r="C90" s="6" t="s">
        <v>24</v>
      </c>
      <c r="D90" s="6" t="s">
        <v>56</v>
      </c>
      <c r="E90" s="6"/>
      <c r="F90" s="6"/>
      <c r="G90" s="14" t="str">
        <f aca="false">IF(A90="","",IF(COUNTIF($A$12:A90,A90)&gt;1,"",IF(COUNTIFS($A$12:$A$111,A90,$C$12:$C$111,"Completed")=COUNTIF($A$12:$A$111,A90),"Completed","Incomplete")))</f>
        <v/>
      </c>
    </row>
    <row r="91" customFormat="false" ht="15" hidden="false" customHeight="true" outlineLevel="0" collapsed="false">
      <c r="A91" s="13"/>
      <c r="B91" s="6"/>
      <c r="C91" s="6"/>
      <c r="D91" s="6"/>
      <c r="E91" s="6"/>
      <c r="F91" s="6"/>
      <c r="G91" s="14" t="str">
        <f aca="false">IF(A91="","",IF(COUNTIF($A$12:A91,A91)&gt;1,"",IF(COUNTIFS($A$12:$A$111,A91,$C$12:$C$111,"Completed")=COUNTIF($A$12:$A$111,A91),"Completed","Incomplete")))</f>
        <v/>
      </c>
    </row>
    <row r="92" customFormat="false" ht="15" hidden="false" customHeight="true" outlineLevel="0" collapsed="false">
      <c r="A92" s="13"/>
      <c r="B92" s="6"/>
      <c r="C92" s="6"/>
      <c r="D92" s="6"/>
      <c r="E92" s="6"/>
      <c r="F92" s="6"/>
      <c r="G92" s="14" t="str">
        <f aca="false">IF(A92="","",IF(COUNTIF($A$12:A92,A92)&gt;1,"",IF(COUNTIFS($A$12:$A$111,A92,$C$12:$C$111,"Completed")=COUNTIF($A$12:$A$111,A92),"Completed","Incomplete")))</f>
        <v/>
      </c>
    </row>
    <row r="93" customFormat="false" ht="15" hidden="false" customHeight="true" outlineLevel="0" collapsed="false">
      <c r="A93" s="13"/>
      <c r="B93" s="6"/>
      <c r="C93" s="6"/>
      <c r="D93" s="6"/>
      <c r="E93" s="6"/>
      <c r="F93" s="6"/>
      <c r="G93" s="14" t="str">
        <f aca="false">IF(A93="","",IF(COUNTIF($A$12:A93,A93)&gt;1,"",IF(COUNTIFS($A$12:$A$111,A93,$C$12:$C$111,"Completed")=COUNTIF($A$12:$A$111,A93),"Completed","Incomplete")))</f>
        <v/>
      </c>
    </row>
    <row r="94" customFormat="false" ht="15" hidden="false" customHeight="true" outlineLevel="0" collapsed="false">
      <c r="A94" s="13"/>
      <c r="B94" s="6"/>
      <c r="C94" s="6"/>
      <c r="D94" s="6"/>
      <c r="E94" s="6"/>
      <c r="F94" s="6"/>
      <c r="G94" s="14" t="str">
        <f aca="false">IF(A94="","",IF(COUNTIF($A$12:A94,A94)&gt;1,"",IF(COUNTIFS($A$12:$A$111,A94,$C$12:$C$111,"Completed")=COUNTIF($A$12:$A$111,A94),"Completed","Incomplete")))</f>
        <v/>
      </c>
    </row>
    <row r="95" customFormat="false" ht="15" hidden="false" customHeight="true" outlineLevel="0" collapsed="false">
      <c r="A95" s="13"/>
      <c r="B95" s="6"/>
      <c r="C95" s="6"/>
      <c r="D95" s="6"/>
      <c r="E95" s="6"/>
      <c r="F95" s="6"/>
      <c r="G95" s="14" t="str">
        <f aca="false">IF(A95="","",IF(COUNTIF($A$12:A95,A95)&gt;1,"",IF(COUNTIFS($A$12:$A$111,A95,$C$12:$C$111,"Completed")=COUNTIF($A$12:$A$111,A95),"Completed","Incomplete")))</f>
        <v/>
      </c>
    </row>
    <row r="96" customFormat="false" ht="15" hidden="false" customHeight="true" outlineLevel="0" collapsed="false">
      <c r="A96" s="13"/>
      <c r="B96" s="6"/>
      <c r="C96" s="6"/>
      <c r="D96" s="6"/>
      <c r="E96" s="6"/>
      <c r="F96" s="6"/>
      <c r="G96" s="14" t="str">
        <f aca="false">IF(A96="","",IF(COUNTIF($A$12:A96,A96)&gt;1,"",IF(COUNTIFS($A$12:$A$111,A96,$C$12:$C$111,"Completed")=COUNTIF($A$12:$A$111,A96),"Completed","Incomplete")))</f>
        <v/>
      </c>
    </row>
    <row r="97" customFormat="false" ht="15" hidden="false" customHeight="true" outlineLevel="0" collapsed="false">
      <c r="A97" s="13"/>
      <c r="B97" s="6"/>
      <c r="C97" s="6"/>
      <c r="D97" s="6"/>
      <c r="E97" s="6"/>
      <c r="F97" s="6"/>
      <c r="G97" s="14" t="str">
        <f aca="false">IF(A97="","",IF(COUNTIF($A$12:A97,A97)&gt;1,"",IF(COUNTIFS($A$12:$A$111,A97,$C$12:$C$111,"Completed")=COUNTIF($A$12:$A$111,A97),"Completed","Incomplete")))</f>
        <v/>
      </c>
    </row>
    <row r="98" customFormat="false" ht="15" hidden="false" customHeight="true" outlineLevel="0" collapsed="false">
      <c r="A98" s="13"/>
      <c r="B98" s="6"/>
      <c r="C98" s="6"/>
      <c r="D98" s="6"/>
      <c r="E98" s="6"/>
      <c r="F98" s="6"/>
      <c r="G98" s="14" t="str">
        <f aca="false">IF(A98="","",IF(COUNTIF($A$12:A98,A98)&gt;1,"",IF(COUNTIFS($A$12:$A$111,A98,$C$12:$C$111,"Completed")=COUNTIF($A$12:$A$111,A98),"Completed","Incomplete")))</f>
        <v/>
      </c>
    </row>
    <row r="99" customFormat="false" ht="15" hidden="false" customHeight="true" outlineLevel="0" collapsed="false">
      <c r="A99" s="13"/>
      <c r="B99" s="6"/>
      <c r="C99" s="6"/>
      <c r="D99" s="6"/>
      <c r="E99" s="6"/>
      <c r="F99" s="6"/>
      <c r="G99" s="14" t="str">
        <f aca="false">IF(A99="","",IF(COUNTIF($A$12:A99,A99)&gt;1,"",IF(COUNTIFS($A$12:$A$111,A99,$C$12:$C$111,"Completed")=COUNTIF($A$12:$A$111,A99),"Completed","Incomplete")))</f>
        <v/>
      </c>
    </row>
    <row r="100" customFormat="false" ht="15" hidden="false" customHeight="true" outlineLevel="0" collapsed="false">
      <c r="A100" s="13"/>
      <c r="B100" s="6"/>
      <c r="C100" s="6"/>
      <c r="D100" s="6"/>
      <c r="E100" s="6"/>
      <c r="F100" s="6"/>
      <c r="G100" s="14" t="str">
        <f aca="false">IF(A100="","",IF(COUNTIF($A$12:A100,A100)&gt;1,"",IF(COUNTIFS($A$12:$A$111,A100,$C$12:$C$111,"Completed")=COUNTIF($A$12:$A$111,A100),"Completed","Incomplete")))</f>
        <v/>
      </c>
    </row>
    <row r="101" customFormat="false" ht="15" hidden="false" customHeight="true" outlineLevel="0" collapsed="false">
      <c r="A101" s="13"/>
      <c r="B101" s="6"/>
      <c r="C101" s="6"/>
      <c r="D101" s="6"/>
      <c r="E101" s="6"/>
      <c r="F101" s="6"/>
      <c r="G101" s="14" t="str">
        <f aca="false">IF(A101="","",IF(COUNTIF($A$12:A101,A101)&gt;1,"",IF(COUNTIFS($A$12:$A$111,A101,$C$12:$C$111,"Completed")=COUNTIF($A$12:$A$111,A101),"Completed","Incomplete")))</f>
        <v/>
      </c>
    </row>
    <row r="102" customFormat="false" ht="15" hidden="false" customHeight="true" outlineLevel="0" collapsed="false">
      <c r="A102" s="13"/>
      <c r="B102" s="6"/>
      <c r="C102" s="6"/>
      <c r="D102" s="6"/>
      <c r="E102" s="6"/>
      <c r="F102" s="6"/>
      <c r="G102" s="14" t="str">
        <f aca="false">IF(A102="","",IF(COUNTIF($A$12:A102,A102)&gt;1,"",IF(COUNTIFS($A$12:$A$111,A102,$C$12:$C$111,"Completed")=COUNTIF($A$12:$A$111,A102),"Completed","Incomplete")))</f>
        <v/>
      </c>
    </row>
    <row r="103" customFormat="false" ht="15" hidden="false" customHeight="true" outlineLevel="0" collapsed="false">
      <c r="A103" s="13"/>
      <c r="B103" s="6"/>
      <c r="C103" s="6"/>
      <c r="D103" s="6"/>
      <c r="E103" s="6"/>
      <c r="F103" s="6"/>
      <c r="G103" s="14" t="str">
        <f aca="false">IF(A103="","",IF(COUNTIF($A$12:A103,A103)&gt;1,"",IF(COUNTIFS($A$12:$A$111,A103,$C$12:$C$111,"Completed")=COUNTIF($A$12:$A$111,A103),"Completed","Incomplete")))</f>
        <v/>
      </c>
    </row>
    <row r="104" customFormat="false" ht="15" hidden="false" customHeight="true" outlineLevel="0" collapsed="false">
      <c r="A104" s="13"/>
      <c r="B104" s="6"/>
      <c r="C104" s="6"/>
      <c r="D104" s="6"/>
      <c r="E104" s="6"/>
      <c r="F104" s="6"/>
      <c r="G104" s="14" t="str">
        <f aca="false">IF(A104="","",IF(COUNTIF($A$12:A104,A104)&gt;1,"",IF(COUNTIFS($A$12:$A$111,A104,$C$12:$C$111,"Completed")=COUNTIF($A$12:$A$111,A104),"Completed","Incomplete")))</f>
        <v/>
      </c>
    </row>
    <row r="105" customFormat="false" ht="15" hidden="false" customHeight="true" outlineLevel="0" collapsed="false">
      <c r="A105" s="13"/>
      <c r="B105" s="6"/>
      <c r="C105" s="6"/>
      <c r="D105" s="6"/>
      <c r="E105" s="6"/>
      <c r="F105" s="6"/>
      <c r="G105" s="14" t="str">
        <f aca="false">IF(A105="","",IF(COUNTIF($A$12:A105,A105)&gt;1,"",IF(COUNTIFS($A$12:$A$111,A105,$C$12:$C$111,"Completed")=COUNTIF($A$12:$A$111,A105),"Completed","Incomplete")))</f>
        <v/>
      </c>
    </row>
    <row r="106" customFormat="false" ht="15" hidden="false" customHeight="true" outlineLevel="0" collapsed="false">
      <c r="A106" s="13"/>
      <c r="B106" s="6"/>
      <c r="C106" s="6"/>
      <c r="D106" s="6"/>
      <c r="E106" s="6"/>
      <c r="F106" s="6"/>
      <c r="G106" s="14" t="str">
        <f aca="false">IF(A106="","",IF(COUNTIF($A$12:A106,A106)&gt;1,"",IF(COUNTIFS($A$12:$A$111,A106,$C$12:$C$111,"Completed")=COUNTIF($A$12:$A$111,A106),"Completed","Incomplete")))</f>
        <v/>
      </c>
    </row>
    <row r="107" customFormat="false" ht="15" hidden="false" customHeight="true" outlineLevel="0" collapsed="false">
      <c r="A107" s="13"/>
      <c r="B107" s="6"/>
      <c r="C107" s="6"/>
      <c r="D107" s="6"/>
      <c r="E107" s="6"/>
      <c r="F107" s="6"/>
      <c r="G107" s="14" t="str">
        <f aca="false">IF(A107="","",IF(COUNTIF($A$12:A107,A107)&gt;1,"",IF(COUNTIFS($A$12:$A$111,A107,$C$12:$C$111,"Completed")=COUNTIF($A$12:$A$111,A107),"Completed","Incomplete")))</f>
        <v/>
      </c>
    </row>
    <row r="108" customFormat="false" ht="15" hidden="false" customHeight="true" outlineLevel="0" collapsed="false">
      <c r="A108" s="13"/>
      <c r="B108" s="6"/>
      <c r="C108" s="6"/>
      <c r="D108" s="6"/>
      <c r="E108" s="6"/>
      <c r="F108" s="6"/>
      <c r="G108" s="14" t="str">
        <f aca="false">IF(A108="","",IF(COUNTIF($A$12:A108,A108)&gt;1,"",IF(COUNTIFS($A$12:$A$111,A108,$C$12:$C$111,"Completed")=COUNTIF($A$12:$A$111,A108),"Completed","Incomplete")))</f>
        <v/>
      </c>
    </row>
    <row r="109" customFormat="false" ht="15" hidden="false" customHeight="true" outlineLevel="0" collapsed="false">
      <c r="A109" s="13"/>
      <c r="B109" s="6"/>
      <c r="C109" s="6"/>
      <c r="D109" s="6"/>
      <c r="E109" s="6"/>
      <c r="F109" s="6"/>
      <c r="G109" s="14" t="str">
        <f aca="false">IF(A109="","",IF(COUNTIF($A$12:A109,A109)&gt;1,"",IF(COUNTIFS($A$12:$A$111,A109,$C$12:$C$111,"Completed")=COUNTIF($A$12:$A$111,A109),"Completed","Incomplete")))</f>
        <v/>
      </c>
    </row>
    <row r="110" customFormat="false" ht="15" hidden="false" customHeight="true" outlineLevel="0" collapsed="false">
      <c r="A110" s="13"/>
      <c r="B110" s="6"/>
      <c r="C110" s="6"/>
      <c r="D110" s="6"/>
      <c r="E110" s="6"/>
      <c r="F110" s="6"/>
      <c r="G110" s="14" t="str">
        <f aca="false">IF(A110="","",IF(COUNTIF($A$12:A110,A110)&gt;1,"",IF(COUNTIFS($A$12:$A$111,A110,$C$12:$C$111,"Completed")=COUNTIF($A$12:$A$111,A110),"Completed","Incomplete")))</f>
        <v/>
      </c>
    </row>
    <row r="111" customFormat="false" ht="15" hidden="false" customHeight="true" outlineLevel="0" collapsed="false">
      <c r="A111" s="15"/>
      <c r="B111" s="16"/>
      <c r="C111" s="16"/>
      <c r="D111" s="16"/>
      <c r="E111" s="16"/>
      <c r="F111" s="16"/>
      <c r="G111" s="17" t="str">
        <f aca="false">IF(A111="","",IF(COUNTIF($A$12:A111,A111)&gt;1,"",IF(COUNTIFS($A$12:$A$111,A111,$C$12:$C$111,"Completed")=COUNTIF($A$12:$A$111,A111),"Completed","Incomplete")))</f>
        <v/>
      </c>
    </row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mergeCells count="4">
    <mergeCell ref="A1:G1"/>
    <mergeCell ref="A3:B3"/>
    <mergeCell ref="D3:F3"/>
    <mergeCell ref="A10:G10"/>
  </mergeCells>
  <conditionalFormatting sqref="C12:C111">
    <cfRule type="expression" priority="2" aboveAverage="0" equalAverage="0" bottom="0" percent="0" rank="0" text="" dxfId="0">
      <formula>C12="Completed"</formula>
    </cfRule>
    <cfRule type="expression" priority="3" aboveAverage="0" equalAverage="0" bottom="0" percent="0" rank="0" text="" dxfId="1">
      <formula>C12="Blocked"</formula>
    </cfRule>
    <cfRule type="expression" priority="4" aboveAverage="0" equalAverage="0" bottom="0" percent="0" rank="0" text="" dxfId="2">
      <formula>C12="Deferred"</formula>
    </cfRule>
  </conditionalFormatting>
  <conditionalFormatting sqref="G12:G111">
    <cfRule type="expression" priority="5" aboveAverage="0" equalAverage="0" bottom="0" percent="0" rank="0" text="" dxfId="3">
      <formula>G12="Completed"</formula>
    </cfRule>
    <cfRule type="expression" priority="6" aboveAverage="0" equalAverage="0" bottom="0" percent="0" rank="0" text="" dxfId="1">
      <formula>G12="Incomplete"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2" min="1" style="1" width="22"/>
    <col collapsed="false" customWidth="true" hidden="false" outlineLevel="0" max="3" min="3" style="1" width="34"/>
    <col collapsed="false" customWidth="true" hidden="false" outlineLevel="0" max="4" min="4" style="1" width="18"/>
    <col collapsed="false" customWidth="true" hidden="false" outlineLevel="0" max="5" min="5" style="1" width="38"/>
    <col collapsed="false" customWidth="true" hidden="false" outlineLevel="0" max="6" min="6" style="1" width="12"/>
    <col collapsed="false" customWidth="true" hidden="false" outlineLevel="0" max="7" min="7" style="1" width="15"/>
    <col collapsed="false" customWidth="true" hidden="false" outlineLevel="0" max="8" min="8" style="1" width="40"/>
    <col collapsed="false" customWidth="true" hidden="false" outlineLevel="0" max="26" min="9" style="1" width="8.71"/>
  </cols>
  <sheetData>
    <row r="1" customFormat="false" ht="30" hidden="false" customHeight="true" outlineLevel="0" collapsed="false">
      <c r="A1" s="2" t="s">
        <v>121</v>
      </c>
      <c r="B1" s="2"/>
      <c r="C1" s="2"/>
      <c r="D1" s="2"/>
      <c r="E1" s="2"/>
      <c r="F1" s="2"/>
      <c r="G1" s="2"/>
      <c r="H1" s="2"/>
    </row>
    <row r="2" customFormat="false" ht="33.75" hidden="false" customHeight="true" outlineLevel="0" collapsed="false">
      <c r="A2" s="18" t="s">
        <v>122</v>
      </c>
      <c r="B2" s="18"/>
      <c r="C2" s="18"/>
      <c r="D2" s="18"/>
      <c r="E2" s="18"/>
      <c r="F2" s="18"/>
      <c r="G2" s="18"/>
      <c r="H2" s="18"/>
    </row>
    <row r="3" customFormat="false" ht="14.25" hidden="false" customHeight="true" outlineLevel="0" collapsed="false">
      <c r="A3" s="3"/>
      <c r="B3" s="3"/>
      <c r="C3" s="3"/>
      <c r="D3" s="3"/>
      <c r="E3" s="3"/>
      <c r="F3" s="3"/>
      <c r="G3" s="3"/>
      <c r="H3" s="3"/>
    </row>
    <row r="4" customFormat="false" ht="37.5" hidden="false" customHeight="true" outlineLevel="0" collapsed="false">
      <c r="A4" s="9" t="s">
        <v>20</v>
      </c>
      <c r="B4" s="9" t="s">
        <v>123</v>
      </c>
      <c r="C4" s="9" t="s">
        <v>124</v>
      </c>
      <c r="D4" s="9" t="s">
        <v>125</v>
      </c>
      <c r="E4" s="9" t="s">
        <v>126</v>
      </c>
      <c r="F4" s="9" t="s">
        <v>127</v>
      </c>
      <c r="G4" s="9" t="s">
        <v>128</v>
      </c>
      <c r="H4" s="9" t="s">
        <v>129</v>
      </c>
    </row>
    <row r="5" customFormat="false" ht="216.75" hidden="false" customHeight="true" outlineLevel="0" collapsed="false">
      <c r="A5" s="10" t="s">
        <v>103</v>
      </c>
      <c r="B5" s="11" t="s">
        <v>98</v>
      </c>
      <c r="C5" s="11" t="s">
        <v>130</v>
      </c>
      <c r="D5" s="11" t="s">
        <v>56</v>
      </c>
      <c r="E5" s="11" t="s">
        <v>131</v>
      </c>
      <c r="F5" s="11" t="s">
        <v>132</v>
      </c>
      <c r="G5" s="11" t="s">
        <v>133</v>
      </c>
      <c r="H5" s="19" t="s">
        <v>134</v>
      </c>
    </row>
    <row r="6" customFormat="false" ht="28.5" hidden="false" customHeight="true" outlineLevel="0" collapsed="false">
      <c r="A6" s="13"/>
      <c r="B6" s="6"/>
      <c r="C6" s="6"/>
      <c r="D6" s="6"/>
      <c r="E6" s="6"/>
      <c r="F6" s="6"/>
      <c r="G6" s="6"/>
      <c r="H6" s="20"/>
    </row>
    <row r="7" customFormat="false" ht="14.25" hidden="false" customHeight="true" outlineLevel="0" collapsed="false">
      <c r="A7" s="13"/>
      <c r="B7" s="6"/>
      <c r="C7" s="6"/>
      <c r="D7" s="6"/>
      <c r="E7" s="6"/>
      <c r="F7" s="6"/>
      <c r="G7" s="6"/>
      <c r="H7" s="20"/>
    </row>
    <row r="8" customFormat="false" ht="14.25" hidden="false" customHeight="true" outlineLevel="0" collapsed="false">
      <c r="A8" s="13"/>
      <c r="B8" s="6"/>
      <c r="C8" s="6"/>
      <c r="D8" s="6"/>
      <c r="E8" s="6"/>
      <c r="F8" s="6"/>
      <c r="G8" s="6"/>
      <c r="H8" s="20"/>
    </row>
    <row r="9" customFormat="false" ht="14.25" hidden="false" customHeight="true" outlineLevel="0" collapsed="false">
      <c r="A9" s="13"/>
      <c r="B9" s="6"/>
      <c r="C9" s="6"/>
      <c r="D9" s="6"/>
      <c r="E9" s="6"/>
      <c r="F9" s="6"/>
      <c r="G9" s="6"/>
      <c r="H9" s="20"/>
    </row>
    <row r="10" customFormat="false" ht="14.25" hidden="false" customHeight="true" outlineLevel="0" collapsed="false">
      <c r="A10" s="13"/>
      <c r="B10" s="6"/>
      <c r="C10" s="6"/>
      <c r="D10" s="6"/>
      <c r="E10" s="6"/>
      <c r="F10" s="6"/>
      <c r="G10" s="6"/>
      <c r="H10" s="20"/>
    </row>
    <row r="11" customFormat="false" ht="14.25" hidden="false" customHeight="true" outlineLevel="0" collapsed="false">
      <c r="A11" s="13"/>
      <c r="B11" s="6"/>
      <c r="C11" s="6"/>
      <c r="D11" s="6"/>
      <c r="E11" s="6"/>
      <c r="F11" s="6"/>
      <c r="G11" s="6"/>
      <c r="H11" s="20"/>
    </row>
    <row r="12" customFormat="false" ht="14.25" hidden="false" customHeight="true" outlineLevel="0" collapsed="false">
      <c r="A12" s="13"/>
      <c r="B12" s="6"/>
      <c r="C12" s="6"/>
      <c r="D12" s="6"/>
      <c r="E12" s="6"/>
      <c r="F12" s="6"/>
      <c r="G12" s="6"/>
      <c r="H12" s="20"/>
    </row>
    <row r="13" customFormat="false" ht="14.25" hidden="false" customHeight="true" outlineLevel="0" collapsed="false">
      <c r="A13" s="13"/>
      <c r="B13" s="6"/>
      <c r="C13" s="6"/>
      <c r="D13" s="6"/>
      <c r="E13" s="6"/>
      <c r="F13" s="6"/>
      <c r="G13" s="6"/>
      <c r="H13" s="20"/>
    </row>
    <row r="14" customFormat="false" ht="14.25" hidden="false" customHeight="true" outlineLevel="0" collapsed="false">
      <c r="A14" s="13"/>
      <c r="B14" s="6"/>
      <c r="C14" s="6"/>
      <c r="D14" s="6"/>
      <c r="E14" s="6"/>
      <c r="F14" s="6"/>
      <c r="G14" s="6"/>
      <c r="H14" s="20"/>
    </row>
    <row r="15" customFormat="false" ht="14.25" hidden="false" customHeight="true" outlineLevel="0" collapsed="false">
      <c r="A15" s="13"/>
      <c r="B15" s="6"/>
      <c r="C15" s="6"/>
      <c r="D15" s="6"/>
      <c r="E15" s="6"/>
      <c r="F15" s="6"/>
      <c r="G15" s="6"/>
      <c r="H15" s="20"/>
    </row>
    <row r="16" customFormat="false" ht="14.25" hidden="false" customHeight="true" outlineLevel="0" collapsed="false">
      <c r="A16" s="13"/>
      <c r="B16" s="6"/>
      <c r="C16" s="6"/>
      <c r="D16" s="6"/>
      <c r="E16" s="6"/>
      <c r="F16" s="6"/>
      <c r="G16" s="6"/>
      <c r="H16" s="20"/>
    </row>
    <row r="17" customFormat="false" ht="14.25" hidden="false" customHeight="true" outlineLevel="0" collapsed="false">
      <c r="A17" s="13"/>
      <c r="B17" s="6"/>
      <c r="C17" s="6"/>
      <c r="D17" s="6"/>
      <c r="E17" s="6"/>
      <c r="F17" s="6"/>
      <c r="G17" s="6"/>
      <c r="H17" s="20"/>
    </row>
    <row r="18" customFormat="false" ht="14.25" hidden="false" customHeight="true" outlineLevel="0" collapsed="false">
      <c r="A18" s="13"/>
      <c r="B18" s="6"/>
      <c r="C18" s="6"/>
      <c r="D18" s="6"/>
      <c r="E18" s="6"/>
      <c r="F18" s="6"/>
      <c r="G18" s="6"/>
      <c r="H18" s="20"/>
    </row>
    <row r="19" customFormat="false" ht="14.25" hidden="false" customHeight="true" outlineLevel="0" collapsed="false">
      <c r="A19" s="13"/>
      <c r="B19" s="6"/>
      <c r="C19" s="6"/>
      <c r="D19" s="6"/>
      <c r="E19" s="6"/>
      <c r="F19" s="6"/>
      <c r="G19" s="6"/>
      <c r="H19" s="20"/>
    </row>
    <row r="20" customFormat="false" ht="14.25" hidden="false" customHeight="true" outlineLevel="0" collapsed="false">
      <c r="A20" s="13"/>
      <c r="B20" s="6"/>
      <c r="C20" s="6"/>
      <c r="D20" s="6"/>
      <c r="E20" s="6"/>
      <c r="F20" s="6"/>
      <c r="G20" s="6"/>
      <c r="H20" s="20"/>
    </row>
    <row r="21" customFormat="false" ht="14.25" hidden="false" customHeight="true" outlineLevel="0" collapsed="false">
      <c r="A21" s="13"/>
      <c r="B21" s="6"/>
      <c r="C21" s="6"/>
      <c r="D21" s="6"/>
      <c r="E21" s="6"/>
      <c r="F21" s="6"/>
      <c r="G21" s="6"/>
      <c r="H21" s="20"/>
    </row>
    <row r="22" customFormat="false" ht="14.25" hidden="false" customHeight="true" outlineLevel="0" collapsed="false">
      <c r="A22" s="13"/>
      <c r="B22" s="6"/>
      <c r="C22" s="6"/>
      <c r="D22" s="6"/>
      <c r="E22" s="6"/>
      <c r="F22" s="6"/>
      <c r="G22" s="6"/>
      <c r="H22" s="20"/>
    </row>
    <row r="23" customFormat="false" ht="14.25" hidden="false" customHeight="true" outlineLevel="0" collapsed="false">
      <c r="A23" s="13"/>
      <c r="B23" s="6"/>
      <c r="C23" s="6"/>
      <c r="D23" s="6"/>
      <c r="E23" s="6"/>
      <c r="F23" s="6"/>
      <c r="G23" s="6"/>
      <c r="H23" s="20"/>
    </row>
    <row r="24" customFormat="false" ht="14.25" hidden="false" customHeight="true" outlineLevel="0" collapsed="false">
      <c r="A24" s="13"/>
      <c r="B24" s="6"/>
      <c r="C24" s="6"/>
      <c r="D24" s="6"/>
      <c r="E24" s="6"/>
      <c r="F24" s="6"/>
      <c r="G24" s="6"/>
      <c r="H24" s="20"/>
    </row>
    <row r="25" customFormat="false" ht="14.25" hidden="false" customHeight="true" outlineLevel="0" collapsed="false">
      <c r="A25" s="13"/>
      <c r="B25" s="6"/>
      <c r="C25" s="6"/>
      <c r="D25" s="6"/>
      <c r="E25" s="6"/>
      <c r="F25" s="6"/>
      <c r="G25" s="6"/>
      <c r="H25" s="20"/>
    </row>
    <row r="26" customFormat="false" ht="14.25" hidden="false" customHeight="true" outlineLevel="0" collapsed="false">
      <c r="A26" s="13"/>
      <c r="B26" s="6"/>
      <c r="C26" s="6"/>
      <c r="D26" s="6"/>
      <c r="E26" s="6"/>
      <c r="F26" s="6"/>
      <c r="G26" s="6"/>
      <c r="H26" s="20"/>
    </row>
    <row r="27" customFormat="false" ht="14.25" hidden="false" customHeight="true" outlineLevel="0" collapsed="false">
      <c r="A27" s="13"/>
      <c r="B27" s="6"/>
      <c r="C27" s="6"/>
      <c r="D27" s="6"/>
      <c r="E27" s="6"/>
      <c r="F27" s="6"/>
      <c r="G27" s="6"/>
      <c r="H27" s="20"/>
    </row>
    <row r="28" customFormat="false" ht="14.25" hidden="false" customHeight="true" outlineLevel="0" collapsed="false">
      <c r="A28" s="13"/>
      <c r="B28" s="6"/>
      <c r="C28" s="6"/>
      <c r="D28" s="6"/>
      <c r="E28" s="6"/>
      <c r="F28" s="6"/>
      <c r="G28" s="6"/>
      <c r="H28" s="20"/>
    </row>
    <row r="29" customFormat="false" ht="14.25" hidden="false" customHeight="true" outlineLevel="0" collapsed="false">
      <c r="A29" s="13"/>
      <c r="B29" s="6"/>
      <c r="C29" s="6"/>
      <c r="D29" s="6"/>
      <c r="E29" s="6"/>
      <c r="F29" s="6"/>
      <c r="G29" s="6"/>
      <c r="H29" s="20"/>
    </row>
    <row r="30" customFormat="false" ht="14.25" hidden="false" customHeight="true" outlineLevel="0" collapsed="false">
      <c r="A30" s="13"/>
      <c r="B30" s="6"/>
      <c r="C30" s="6"/>
      <c r="D30" s="6"/>
      <c r="E30" s="6"/>
      <c r="F30" s="6"/>
      <c r="G30" s="6"/>
      <c r="H30" s="20"/>
    </row>
    <row r="31" customFormat="false" ht="14.25" hidden="false" customHeight="true" outlineLevel="0" collapsed="false">
      <c r="A31" s="13"/>
      <c r="B31" s="6"/>
      <c r="C31" s="6"/>
      <c r="D31" s="6"/>
      <c r="E31" s="6"/>
      <c r="F31" s="6"/>
      <c r="G31" s="6"/>
      <c r="H31" s="20"/>
    </row>
    <row r="32" customFormat="false" ht="14.25" hidden="false" customHeight="true" outlineLevel="0" collapsed="false">
      <c r="A32" s="13"/>
      <c r="B32" s="6"/>
      <c r="C32" s="6"/>
      <c r="D32" s="6"/>
      <c r="E32" s="6"/>
      <c r="F32" s="6"/>
      <c r="G32" s="6"/>
      <c r="H32" s="20"/>
    </row>
    <row r="33" customFormat="false" ht="14.25" hidden="false" customHeight="true" outlineLevel="0" collapsed="false">
      <c r="A33" s="13"/>
      <c r="B33" s="6"/>
      <c r="C33" s="6"/>
      <c r="D33" s="6"/>
      <c r="E33" s="6"/>
      <c r="F33" s="6"/>
      <c r="G33" s="6"/>
      <c r="H33" s="20"/>
    </row>
    <row r="34" customFormat="false" ht="14.25" hidden="false" customHeight="true" outlineLevel="0" collapsed="false">
      <c r="A34" s="13"/>
      <c r="B34" s="6"/>
      <c r="C34" s="6"/>
      <c r="D34" s="6"/>
      <c r="E34" s="6"/>
      <c r="F34" s="6"/>
      <c r="G34" s="6"/>
      <c r="H34" s="20"/>
    </row>
    <row r="35" customFormat="false" ht="14.25" hidden="false" customHeight="true" outlineLevel="0" collapsed="false">
      <c r="A35" s="13"/>
      <c r="B35" s="6"/>
      <c r="C35" s="6"/>
      <c r="D35" s="6"/>
      <c r="E35" s="6"/>
      <c r="F35" s="6"/>
      <c r="G35" s="6"/>
      <c r="H35" s="20"/>
    </row>
    <row r="36" customFormat="false" ht="14.25" hidden="false" customHeight="true" outlineLevel="0" collapsed="false">
      <c r="A36" s="13"/>
      <c r="B36" s="6"/>
      <c r="C36" s="6"/>
      <c r="D36" s="6"/>
      <c r="E36" s="6"/>
      <c r="F36" s="6"/>
      <c r="G36" s="6"/>
      <c r="H36" s="20"/>
    </row>
    <row r="37" customFormat="false" ht="14.25" hidden="false" customHeight="true" outlineLevel="0" collapsed="false">
      <c r="A37" s="13"/>
      <c r="B37" s="6"/>
      <c r="C37" s="6"/>
      <c r="D37" s="6"/>
      <c r="E37" s="6"/>
      <c r="F37" s="6"/>
      <c r="G37" s="6"/>
      <c r="H37" s="20"/>
    </row>
    <row r="38" customFormat="false" ht="14.25" hidden="false" customHeight="true" outlineLevel="0" collapsed="false">
      <c r="A38" s="13"/>
      <c r="B38" s="6"/>
      <c r="C38" s="6"/>
      <c r="D38" s="6"/>
      <c r="E38" s="6"/>
      <c r="F38" s="6"/>
      <c r="G38" s="6"/>
      <c r="H38" s="20"/>
    </row>
    <row r="39" customFormat="false" ht="14.25" hidden="false" customHeight="true" outlineLevel="0" collapsed="false">
      <c r="A39" s="13"/>
      <c r="B39" s="6"/>
      <c r="C39" s="6"/>
      <c r="D39" s="6"/>
      <c r="E39" s="6"/>
      <c r="F39" s="6"/>
      <c r="G39" s="6"/>
      <c r="H39" s="20"/>
    </row>
    <row r="40" customFormat="false" ht="14.25" hidden="false" customHeight="true" outlineLevel="0" collapsed="false">
      <c r="A40" s="13"/>
      <c r="B40" s="6"/>
      <c r="C40" s="6"/>
      <c r="D40" s="6"/>
      <c r="E40" s="6"/>
      <c r="F40" s="6"/>
      <c r="G40" s="6"/>
      <c r="H40" s="20"/>
    </row>
    <row r="41" customFormat="false" ht="14.25" hidden="false" customHeight="true" outlineLevel="0" collapsed="false">
      <c r="A41" s="13"/>
      <c r="B41" s="6"/>
      <c r="C41" s="6"/>
      <c r="D41" s="6"/>
      <c r="E41" s="6"/>
      <c r="F41" s="6"/>
      <c r="G41" s="6"/>
      <c r="H41" s="20"/>
    </row>
    <row r="42" customFormat="false" ht="14.25" hidden="false" customHeight="true" outlineLevel="0" collapsed="false">
      <c r="A42" s="13"/>
      <c r="B42" s="6"/>
      <c r="C42" s="6"/>
      <c r="D42" s="6"/>
      <c r="E42" s="6"/>
      <c r="F42" s="6"/>
      <c r="G42" s="6"/>
      <c r="H42" s="20"/>
    </row>
    <row r="43" customFormat="false" ht="14.25" hidden="false" customHeight="true" outlineLevel="0" collapsed="false">
      <c r="A43" s="13"/>
      <c r="B43" s="6"/>
      <c r="C43" s="6"/>
      <c r="D43" s="6"/>
      <c r="E43" s="6"/>
      <c r="F43" s="6"/>
      <c r="G43" s="6"/>
      <c r="H43" s="20"/>
    </row>
    <row r="44" customFormat="false" ht="14.25" hidden="false" customHeight="true" outlineLevel="0" collapsed="false">
      <c r="A44" s="13"/>
      <c r="B44" s="6"/>
      <c r="C44" s="6"/>
      <c r="D44" s="6"/>
      <c r="E44" s="6"/>
      <c r="F44" s="6"/>
      <c r="G44" s="6"/>
      <c r="H44" s="20"/>
    </row>
    <row r="45" customFormat="false" ht="14.25" hidden="false" customHeight="true" outlineLevel="0" collapsed="false">
      <c r="A45" s="13"/>
      <c r="B45" s="6"/>
      <c r="C45" s="6"/>
      <c r="D45" s="6"/>
      <c r="E45" s="6"/>
      <c r="F45" s="6"/>
      <c r="G45" s="6"/>
      <c r="H45" s="20"/>
    </row>
    <row r="46" customFormat="false" ht="14.25" hidden="false" customHeight="true" outlineLevel="0" collapsed="false">
      <c r="A46" s="13"/>
      <c r="B46" s="6"/>
      <c r="C46" s="6"/>
      <c r="D46" s="6"/>
      <c r="E46" s="6"/>
      <c r="F46" s="6"/>
      <c r="G46" s="6"/>
      <c r="H46" s="20"/>
    </row>
    <row r="47" customFormat="false" ht="14.25" hidden="false" customHeight="true" outlineLevel="0" collapsed="false">
      <c r="A47" s="13"/>
      <c r="B47" s="6"/>
      <c r="C47" s="6"/>
      <c r="D47" s="6"/>
      <c r="E47" s="6"/>
      <c r="F47" s="6"/>
      <c r="G47" s="6"/>
      <c r="H47" s="20"/>
    </row>
    <row r="48" customFormat="false" ht="14.25" hidden="false" customHeight="true" outlineLevel="0" collapsed="false">
      <c r="A48" s="13"/>
      <c r="B48" s="6"/>
      <c r="C48" s="6"/>
      <c r="D48" s="6"/>
      <c r="E48" s="6"/>
      <c r="F48" s="6"/>
      <c r="G48" s="6"/>
      <c r="H48" s="20"/>
    </row>
    <row r="49" customFormat="false" ht="14.25" hidden="false" customHeight="true" outlineLevel="0" collapsed="false">
      <c r="A49" s="13"/>
      <c r="B49" s="6"/>
      <c r="C49" s="6"/>
      <c r="D49" s="6"/>
      <c r="E49" s="6"/>
      <c r="F49" s="6"/>
      <c r="G49" s="6"/>
      <c r="H49" s="20"/>
    </row>
    <row r="50" customFormat="false" ht="14.25" hidden="false" customHeight="true" outlineLevel="0" collapsed="false">
      <c r="A50" s="13"/>
      <c r="B50" s="6"/>
      <c r="C50" s="6"/>
      <c r="D50" s="6"/>
      <c r="E50" s="6"/>
      <c r="F50" s="6"/>
      <c r="G50" s="6"/>
      <c r="H50" s="20"/>
    </row>
    <row r="51" customFormat="false" ht="14.25" hidden="false" customHeight="true" outlineLevel="0" collapsed="false">
      <c r="A51" s="13"/>
      <c r="B51" s="6"/>
      <c r="C51" s="6"/>
      <c r="D51" s="6"/>
      <c r="E51" s="6"/>
      <c r="F51" s="6"/>
      <c r="G51" s="6"/>
      <c r="H51" s="20"/>
    </row>
    <row r="52" customFormat="false" ht="14.25" hidden="false" customHeight="true" outlineLevel="0" collapsed="false">
      <c r="A52" s="13"/>
      <c r="B52" s="6"/>
      <c r="C52" s="6"/>
      <c r="D52" s="6"/>
      <c r="E52" s="6"/>
      <c r="F52" s="6"/>
      <c r="G52" s="6"/>
      <c r="H52" s="20"/>
    </row>
    <row r="53" customFormat="false" ht="14.25" hidden="false" customHeight="true" outlineLevel="0" collapsed="false">
      <c r="A53" s="13"/>
      <c r="B53" s="6"/>
      <c r="C53" s="6"/>
      <c r="D53" s="6"/>
      <c r="E53" s="6"/>
      <c r="F53" s="6"/>
      <c r="G53" s="6"/>
      <c r="H53" s="20"/>
    </row>
    <row r="54" customFormat="false" ht="14.25" hidden="false" customHeight="true" outlineLevel="0" collapsed="false">
      <c r="A54" s="13"/>
      <c r="B54" s="6"/>
      <c r="C54" s="6"/>
      <c r="D54" s="6"/>
      <c r="E54" s="6"/>
      <c r="F54" s="6"/>
      <c r="G54" s="6"/>
      <c r="H54" s="20"/>
    </row>
    <row r="55" customFormat="false" ht="14.25" hidden="false" customHeight="true" outlineLevel="0" collapsed="false">
      <c r="A55" s="13"/>
      <c r="B55" s="6"/>
      <c r="C55" s="6"/>
      <c r="D55" s="6"/>
      <c r="E55" s="6"/>
      <c r="F55" s="6"/>
      <c r="G55" s="6"/>
      <c r="H55" s="20"/>
    </row>
    <row r="56" customFormat="false" ht="14.25" hidden="false" customHeight="true" outlineLevel="0" collapsed="false">
      <c r="A56" s="13"/>
      <c r="B56" s="6"/>
      <c r="C56" s="6"/>
      <c r="D56" s="6"/>
      <c r="E56" s="6"/>
      <c r="F56" s="6"/>
      <c r="G56" s="6"/>
      <c r="H56" s="20"/>
    </row>
    <row r="57" customFormat="false" ht="14.25" hidden="false" customHeight="true" outlineLevel="0" collapsed="false">
      <c r="A57" s="13"/>
      <c r="B57" s="6"/>
      <c r="C57" s="6"/>
      <c r="D57" s="6"/>
      <c r="E57" s="6"/>
      <c r="F57" s="6"/>
      <c r="G57" s="6"/>
      <c r="H57" s="20"/>
    </row>
    <row r="58" customFormat="false" ht="14.25" hidden="false" customHeight="true" outlineLevel="0" collapsed="false">
      <c r="A58" s="13"/>
      <c r="B58" s="6"/>
      <c r="C58" s="6"/>
      <c r="D58" s="6"/>
      <c r="E58" s="6"/>
      <c r="F58" s="6"/>
      <c r="G58" s="6"/>
      <c r="H58" s="20"/>
    </row>
    <row r="59" customFormat="false" ht="14.25" hidden="false" customHeight="true" outlineLevel="0" collapsed="false">
      <c r="A59" s="13"/>
      <c r="B59" s="6"/>
      <c r="C59" s="6"/>
      <c r="D59" s="6"/>
      <c r="E59" s="6"/>
      <c r="F59" s="6"/>
      <c r="G59" s="6"/>
      <c r="H59" s="20"/>
    </row>
    <row r="60" customFormat="false" ht="14.25" hidden="false" customHeight="true" outlineLevel="0" collapsed="false">
      <c r="A60" s="13"/>
      <c r="B60" s="6"/>
      <c r="C60" s="6"/>
      <c r="D60" s="6"/>
      <c r="E60" s="6"/>
      <c r="F60" s="6"/>
      <c r="G60" s="6"/>
      <c r="H60" s="20"/>
    </row>
    <row r="61" customFormat="false" ht="14.25" hidden="false" customHeight="true" outlineLevel="0" collapsed="false">
      <c r="A61" s="13"/>
      <c r="B61" s="6"/>
      <c r="C61" s="6"/>
      <c r="D61" s="6"/>
      <c r="E61" s="6"/>
      <c r="F61" s="6"/>
      <c r="G61" s="6"/>
      <c r="H61" s="20"/>
    </row>
    <row r="62" customFormat="false" ht="14.25" hidden="false" customHeight="true" outlineLevel="0" collapsed="false">
      <c r="A62" s="13"/>
      <c r="B62" s="6"/>
      <c r="C62" s="6"/>
      <c r="D62" s="6"/>
      <c r="E62" s="6"/>
      <c r="F62" s="6"/>
      <c r="G62" s="6"/>
      <c r="H62" s="20"/>
    </row>
    <row r="63" customFormat="false" ht="14.25" hidden="false" customHeight="true" outlineLevel="0" collapsed="false">
      <c r="A63" s="13"/>
      <c r="B63" s="6"/>
      <c r="C63" s="6"/>
      <c r="D63" s="6"/>
      <c r="E63" s="6"/>
      <c r="F63" s="6"/>
      <c r="G63" s="6"/>
      <c r="H63" s="20"/>
    </row>
    <row r="64" customFormat="false" ht="14.25" hidden="false" customHeight="true" outlineLevel="0" collapsed="false">
      <c r="A64" s="13"/>
      <c r="B64" s="6"/>
      <c r="C64" s="6"/>
      <c r="D64" s="6"/>
      <c r="E64" s="6"/>
      <c r="F64" s="6"/>
      <c r="G64" s="6"/>
      <c r="H64" s="20"/>
    </row>
    <row r="65" customFormat="false" ht="14.25" hidden="false" customHeight="true" outlineLevel="0" collapsed="false">
      <c r="A65" s="13"/>
      <c r="B65" s="6"/>
      <c r="C65" s="6"/>
      <c r="D65" s="6"/>
      <c r="E65" s="6"/>
      <c r="F65" s="6"/>
      <c r="G65" s="6"/>
      <c r="H65" s="20"/>
    </row>
    <row r="66" customFormat="false" ht="14.25" hidden="false" customHeight="true" outlineLevel="0" collapsed="false">
      <c r="A66" s="13"/>
      <c r="B66" s="6"/>
      <c r="C66" s="6"/>
      <c r="D66" s="6"/>
      <c r="E66" s="6"/>
      <c r="F66" s="6"/>
      <c r="G66" s="6"/>
      <c r="H66" s="20"/>
    </row>
    <row r="67" customFormat="false" ht="14.25" hidden="false" customHeight="true" outlineLevel="0" collapsed="false">
      <c r="A67" s="13"/>
      <c r="B67" s="6"/>
      <c r="C67" s="6"/>
      <c r="D67" s="6"/>
      <c r="E67" s="6"/>
      <c r="F67" s="6"/>
      <c r="G67" s="6"/>
      <c r="H67" s="20"/>
    </row>
    <row r="68" customFormat="false" ht="14.25" hidden="false" customHeight="true" outlineLevel="0" collapsed="false">
      <c r="A68" s="13"/>
      <c r="B68" s="6"/>
      <c r="C68" s="6"/>
      <c r="D68" s="6"/>
      <c r="E68" s="6"/>
      <c r="F68" s="6"/>
      <c r="G68" s="6"/>
      <c r="H68" s="20"/>
    </row>
    <row r="69" customFormat="false" ht="14.25" hidden="false" customHeight="true" outlineLevel="0" collapsed="false">
      <c r="A69" s="13"/>
      <c r="B69" s="6"/>
      <c r="C69" s="6"/>
      <c r="D69" s="6"/>
      <c r="E69" s="6"/>
      <c r="F69" s="6"/>
      <c r="G69" s="6"/>
      <c r="H69" s="20"/>
    </row>
    <row r="70" customFormat="false" ht="14.25" hidden="false" customHeight="true" outlineLevel="0" collapsed="false">
      <c r="A70" s="13"/>
      <c r="B70" s="6"/>
      <c r="C70" s="6"/>
      <c r="D70" s="6"/>
      <c r="E70" s="6"/>
      <c r="F70" s="6"/>
      <c r="G70" s="6"/>
      <c r="H70" s="20"/>
    </row>
    <row r="71" customFormat="false" ht="14.25" hidden="false" customHeight="true" outlineLevel="0" collapsed="false">
      <c r="A71" s="13"/>
      <c r="B71" s="6"/>
      <c r="C71" s="6"/>
      <c r="D71" s="6"/>
      <c r="E71" s="6"/>
      <c r="F71" s="6"/>
      <c r="G71" s="6"/>
      <c r="H71" s="20"/>
    </row>
    <row r="72" customFormat="false" ht="14.25" hidden="false" customHeight="true" outlineLevel="0" collapsed="false">
      <c r="A72" s="13"/>
      <c r="B72" s="6"/>
      <c r="C72" s="6"/>
      <c r="D72" s="6"/>
      <c r="E72" s="6"/>
      <c r="F72" s="6"/>
      <c r="G72" s="6"/>
      <c r="H72" s="20"/>
    </row>
    <row r="73" customFormat="false" ht="14.25" hidden="false" customHeight="true" outlineLevel="0" collapsed="false">
      <c r="A73" s="13"/>
      <c r="B73" s="6"/>
      <c r="C73" s="6"/>
      <c r="D73" s="6"/>
      <c r="E73" s="6"/>
      <c r="F73" s="6"/>
      <c r="G73" s="6"/>
      <c r="H73" s="20"/>
    </row>
    <row r="74" customFormat="false" ht="14.25" hidden="false" customHeight="true" outlineLevel="0" collapsed="false">
      <c r="A74" s="13"/>
      <c r="B74" s="6"/>
      <c r="C74" s="6"/>
      <c r="D74" s="6"/>
      <c r="E74" s="6"/>
      <c r="F74" s="6"/>
      <c r="G74" s="6"/>
      <c r="H74" s="20"/>
    </row>
    <row r="75" customFormat="false" ht="14.25" hidden="false" customHeight="true" outlineLevel="0" collapsed="false">
      <c r="A75" s="13"/>
      <c r="B75" s="6"/>
      <c r="C75" s="6"/>
      <c r="D75" s="6"/>
      <c r="E75" s="6"/>
      <c r="F75" s="6"/>
      <c r="G75" s="6"/>
      <c r="H75" s="20"/>
    </row>
    <row r="76" customFormat="false" ht="14.25" hidden="false" customHeight="true" outlineLevel="0" collapsed="false">
      <c r="A76" s="13"/>
      <c r="B76" s="6"/>
      <c r="C76" s="6"/>
      <c r="D76" s="6"/>
      <c r="E76" s="6"/>
      <c r="F76" s="6"/>
      <c r="G76" s="6"/>
      <c r="H76" s="20"/>
    </row>
    <row r="77" customFormat="false" ht="14.25" hidden="false" customHeight="true" outlineLevel="0" collapsed="false">
      <c r="A77" s="13"/>
      <c r="B77" s="6"/>
      <c r="C77" s="6"/>
      <c r="D77" s="6"/>
      <c r="E77" s="6"/>
      <c r="F77" s="6"/>
      <c r="G77" s="6"/>
      <c r="H77" s="20"/>
    </row>
    <row r="78" customFormat="false" ht="14.25" hidden="false" customHeight="true" outlineLevel="0" collapsed="false">
      <c r="A78" s="13"/>
      <c r="B78" s="6"/>
      <c r="C78" s="6"/>
      <c r="D78" s="6"/>
      <c r="E78" s="6"/>
      <c r="F78" s="6"/>
      <c r="G78" s="6"/>
      <c r="H78" s="20"/>
    </row>
    <row r="79" customFormat="false" ht="14.25" hidden="false" customHeight="true" outlineLevel="0" collapsed="false">
      <c r="A79" s="13"/>
      <c r="B79" s="6"/>
      <c r="C79" s="6"/>
      <c r="D79" s="6"/>
      <c r="E79" s="6"/>
      <c r="F79" s="6"/>
      <c r="G79" s="6"/>
      <c r="H79" s="20"/>
    </row>
    <row r="80" customFormat="false" ht="14.25" hidden="false" customHeight="true" outlineLevel="0" collapsed="false">
      <c r="A80" s="13"/>
      <c r="B80" s="6"/>
      <c r="C80" s="6"/>
      <c r="D80" s="6"/>
      <c r="E80" s="6"/>
      <c r="F80" s="6"/>
      <c r="G80" s="6"/>
      <c r="H80" s="20"/>
    </row>
    <row r="81" customFormat="false" ht="14.25" hidden="false" customHeight="true" outlineLevel="0" collapsed="false">
      <c r="A81" s="13"/>
      <c r="B81" s="6"/>
      <c r="C81" s="6"/>
      <c r="D81" s="6"/>
      <c r="E81" s="6"/>
      <c r="F81" s="6"/>
      <c r="G81" s="6"/>
      <c r="H81" s="20"/>
    </row>
    <row r="82" customFormat="false" ht="14.25" hidden="false" customHeight="true" outlineLevel="0" collapsed="false">
      <c r="A82" s="13"/>
      <c r="B82" s="6"/>
      <c r="C82" s="6"/>
      <c r="D82" s="6"/>
      <c r="E82" s="6"/>
      <c r="F82" s="6"/>
      <c r="G82" s="6"/>
      <c r="H82" s="20"/>
    </row>
    <row r="83" customFormat="false" ht="14.25" hidden="false" customHeight="true" outlineLevel="0" collapsed="false">
      <c r="A83" s="13"/>
      <c r="B83" s="6"/>
      <c r="C83" s="6"/>
      <c r="D83" s="6"/>
      <c r="E83" s="6"/>
      <c r="F83" s="6"/>
      <c r="G83" s="6"/>
      <c r="H83" s="20"/>
    </row>
    <row r="84" customFormat="false" ht="14.25" hidden="false" customHeight="true" outlineLevel="0" collapsed="false">
      <c r="A84" s="13"/>
      <c r="B84" s="6"/>
      <c r="C84" s="6"/>
      <c r="D84" s="6"/>
      <c r="E84" s="6"/>
      <c r="F84" s="6"/>
      <c r="G84" s="6"/>
      <c r="H84" s="20"/>
    </row>
    <row r="85" customFormat="false" ht="14.25" hidden="false" customHeight="true" outlineLevel="0" collapsed="false">
      <c r="A85" s="13"/>
      <c r="B85" s="6"/>
      <c r="C85" s="6"/>
      <c r="D85" s="6"/>
      <c r="E85" s="6"/>
      <c r="F85" s="6"/>
      <c r="G85" s="6"/>
      <c r="H85" s="20"/>
    </row>
    <row r="86" customFormat="false" ht="14.25" hidden="false" customHeight="true" outlineLevel="0" collapsed="false">
      <c r="A86" s="13"/>
      <c r="B86" s="6"/>
      <c r="C86" s="6"/>
      <c r="D86" s="6"/>
      <c r="E86" s="6"/>
      <c r="F86" s="6"/>
      <c r="G86" s="6"/>
      <c r="H86" s="20"/>
    </row>
    <row r="87" customFormat="false" ht="14.25" hidden="false" customHeight="true" outlineLevel="0" collapsed="false">
      <c r="A87" s="13"/>
      <c r="B87" s="6"/>
      <c r="C87" s="6"/>
      <c r="D87" s="6"/>
      <c r="E87" s="6"/>
      <c r="F87" s="6"/>
      <c r="G87" s="6"/>
      <c r="H87" s="20"/>
    </row>
    <row r="88" customFormat="false" ht="14.25" hidden="false" customHeight="true" outlineLevel="0" collapsed="false">
      <c r="A88" s="13"/>
      <c r="B88" s="6"/>
      <c r="C88" s="6"/>
      <c r="D88" s="6"/>
      <c r="E88" s="6"/>
      <c r="F88" s="6"/>
      <c r="G88" s="6"/>
      <c r="H88" s="20"/>
    </row>
    <row r="89" customFormat="false" ht="14.25" hidden="false" customHeight="true" outlineLevel="0" collapsed="false">
      <c r="A89" s="13"/>
      <c r="B89" s="6"/>
      <c r="C89" s="6"/>
      <c r="D89" s="6"/>
      <c r="E89" s="6"/>
      <c r="F89" s="6"/>
      <c r="G89" s="6"/>
      <c r="H89" s="20"/>
    </row>
    <row r="90" customFormat="false" ht="14.25" hidden="false" customHeight="true" outlineLevel="0" collapsed="false">
      <c r="A90" s="13"/>
      <c r="B90" s="6"/>
      <c r="C90" s="6"/>
      <c r="D90" s="6"/>
      <c r="E90" s="6"/>
      <c r="F90" s="6"/>
      <c r="G90" s="6"/>
      <c r="H90" s="20"/>
    </row>
    <row r="91" customFormat="false" ht="14.25" hidden="false" customHeight="true" outlineLevel="0" collapsed="false">
      <c r="A91" s="13"/>
      <c r="B91" s="6"/>
      <c r="C91" s="6"/>
      <c r="D91" s="6"/>
      <c r="E91" s="6"/>
      <c r="F91" s="6"/>
      <c r="G91" s="6"/>
      <c r="H91" s="20"/>
    </row>
    <row r="92" customFormat="false" ht="14.25" hidden="false" customHeight="true" outlineLevel="0" collapsed="false">
      <c r="A92" s="13"/>
      <c r="B92" s="6"/>
      <c r="C92" s="6"/>
      <c r="D92" s="6"/>
      <c r="E92" s="6"/>
      <c r="F92" s="6"/>
      <c r="G92" s="6"/>
      <c r="H92" s="20"/>
    </row>
    <row r="93" customFormat="false" ht="14.25" hidden="false" customHeight="true" outlineLevel="0" collapsed="false">
      <c r="A93" s="13"/>
      <c r="B93" s="6"/>
      <c r="C93" s="6"/>
      <c r="D93" s="6"/>
      <c r="E93" s="6"/>
      <c r="F93" s="6"/>
      <c r="G93" s="6"/>
      <c r="H93" s="20"/>
    </row>
    <row r="94" customFormat="false" ht="14.25" hidden="false" customHeight="true" outlineLevel="0" collapsed="false">
      <c r="A94" s="13"/>
      <c r="B94" s="6"/>
      <c r="C94" s="6"/>
      <c r="D94" s="6"/>
      <c r="E94" s="6"/>
      <c r="F94" s="6"/>
      <c r="G94" s="6"/>
      <c r="H94" s="20"/>
    </row>
    <row r="95" customFormat="false" ht="14.25" hidden="false" customHeight="true" outlineLevel="0" collapsed="false">
      <c r="A95" s="13"/>
      <c r="B95" s="6"/>
      <c r="C95" s="6"/>
      <c r="D95" s="6"/>
      <c r="E95" s="6"/>
      <c r="F95" s="6"/>
      <c r="G95" s="6"/>
      <c r="H95" s="20"/>
    </row>
    <row r="96" customFormat="false" ht="14.25" hidden="false" customHeight="true" outlineLevel="0" collapsed="false">
      <c r="A96" s="13"/>
      <c r="B96" s="6"/>
      <c r="C96" s="6"/>
      <c r="D96" s="6"/>
      <c r="E96" s="6"/>
      <c r="F96" s="6"/>
      <c r="G96" s="6"/>
      <c r="H96" s="20"/>
    </row>
    <row r="97" customFormat="false" ht="14.25" hidden="false" customHeight="true" outlineLevel="0" collapsed="false">
      <c r="A97" s="13"/>
      <c r="B97" s="6"/>
      <c r="C97" s="6"/>
      <c r="D97" s="6"/>
      <c r="E97" s="6"/>
      <c r="F97" s="6"/>
      <c r="G97" s="6"/>
      <c r="H97" s="20"/>
    </row>
    <row r="98" customFormat="false" ht="14.25" hidden="false" customHeight="true" outlineLevel="0" collapsed="false">
      <c r="A98" s="13"/>
      <c r="B98" s="6"/>
      <c r="C98" s="6"/>
      <c r="D98" s="6"/>
      <c r="E98" s="6"/>
      <c r="F98" s="6"/>
      <c r="G98" s="6"/>
      <c r="H98" s="20"/>
    </row>
    <row r="99" customFormat="false" ht="14.25" hidden="false" customHeight="true" outlineLevel="0" collapsed="false">
      <c r="A99" s="13"/>
      <c r="B99" s="6"/>
      <c r="C99" s="6"/>
      <c r="D99" s="6"/>
      <c r="E99" s="6"/>
      <c r="F99" s="6"/>
      <c r="G99" s="6"/>
      <c r="H99" s="20"/>
    </row>
    <row r="100" customFormat="false" ht="14.25" hidden="false" customHeight="true" outlineLevel="0" collapsed="false">
      <c r="A100" s="13"/>
      <c r="B100" s="6"/>
      <c r="C100" s="6"/>
      <c r="D100" s="6"/>
      <c r="E100" s="6"/>
      <c r="F100" s="6"/>
      <c r="G100" s="6"/>
      <c r="H100" s="20"/>
    </row>
    <row r="101" customFormat="false" ht="14.25" hidden="false" customHeight="true" outlineLevel="0" collapsed="false">
      <c r="A101" s="13"/>
      <c r="B101" s="6"/>
      <c r="C101" s="6"/>
      <c r="D101" s="6"/>
      <c r="E101" s="6"/>
      <c r="F101" s="6"/>
      <c r="G101" s="6"/>
      <c r="H101" s="20"/>
    </row>
    <row r="102" customFormat="false" ht="14.25" hidden="false" customHeight="true" outlineLevel="0" collapsed="false">
      <c r="A102" s="13"/>
      <c r="B102" s="6"/>
      <c r="C102" s="6"/>
      <c r="D102" s="6"/>
      <c r="E102" s="6"/>
      <c r="F102" s="6"/>
      <c r="G102" s="6"/>
      <c r="H102" s="20"/>
    </row>
    <row r="103" customFormat="false" ht="14.25" hidden="false" customHeight="true" outlineLevel="0" collapsed="false">
      <c r="A103" s="13"/>
      <c r="B103" s="6"/>
      <c r="C103" s="6"/>
      <c r="D103" s="6"/>
      <c r="E103" s="6"/>
      <c r="F103" s="6"/>
      <c r="G103" s="6"/>
      <c r="H103" s="20"/>
    </row>
    <row r="104" customFormat="false" ht="14.25" hidden="false" customHeight="true" outlineLevel="0" collapsed="false">
      <c r="A104" s="15"/>
      <c r="B104" s="16"/>
      <c r="C104" s="16"/>
      <c r="D104" s="16"/>
      <c r="E104" s="16"/>
      <c r="F104" s="16"/>
      <c r="G104" s="16"/>
      <c r="H104" s="21"/>
    </row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mergeCells count="2">
    <mergeCell ref="A1:H1"/>
    <mergeCell ref="A2:H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8"/>
    <col collapsed="false" customWidth="true" hidden="false" outlineLevel="0" max="3" min="3" style="1" width="12"/>
    <col collapsed="false" customWidth="true" hidden="false" outlineLevel="0" max="4" min="4" style="1" width="38"/>
    <col collapsed="false" customWidth="true" hidden="false" outlineLevel="0" max="5" min="5" style="1" width="18"/>
    <col collapsed="false" customWidth="true" hidden="false" outlineLevel="0" max="6" min="6" style="1" width="30"/>
    <col collapsed="false" customWidth="true" hidden="false" outlineLevel="0" max="26" min="7" style="1" width="8.71"/>
  </cols>
  <sheetData>
    <row r="1" customFormat="false" ht="30" hidden="false" customHeight="true" outlineLevel="0" collapsed="false">
      <c r="A1" s="2" t="s">
        <v>135</v>
      </c>
      <c r="B1" s="2"/>
      <c r="C1" s="2"/>
      <c r="D1" s="2"/>
      <c r="E1" s="2"/>
      <c r="F1" s="2"/>
    </row>
    <row r="2" customFormat="false" ht="14.25" hidden="false" customHeight="true" outlineLevel="0" collapsed="false">
      <c r="A2" s="3"/>
      <c r="B2" s="3"/>
      <c r="C2" s="3"/>
      <c r="D2" s="3"/>
      <c r="E2" s="3"/>
      <c r="F2" s="3"/>
    </row>
    <row r="3" customFormat="false" ht="15.75" hidden="false" customHeight="true" outlineLevel="0" collapsed="false">
      <c r="A3" s="4" t="s">
        <v>136</v>
      </c>
      <c r="B3" s="4"/>
      <c r="C3" s="4"/>
      <c r="D3" s="4"/>
      <c r="E3" s="4"/>
      <c r="F3" s="4"/>
    </row>
    <row r="4" customFormat="false" ht="15" hidden="false" customHeight="true" outlineLevel="0" collapsed="false">
      <c r="A4" s="9" t="s">
        <v>137</v>
      </c>
      <c r="B4" s="9" t="s">
        <v>138</v>
      </c>
      <c r="C4" s="9" t="s">
        <v>139</v>
      </c>
      <c r="D4" s="9" t="s">
        <v>140</v>
      </c>
      <c r="E4" s="9" t="s">
        <v>125</v>
      </c>
      <c r="F4" s="9" t="s">
        <v>141</v>
      </c>
    </row>
    <row r="5" customFormat="false" ht="120" hidden="false" customHeight="true" outlineLevel="0" collapsed="false">
      <c r="A5" s="10" t="n">
        <v>1</v>
      </c>
      <c r="B5" s="11" t="s">
        <v>142</v>
      </c>
      <c r="C5" s="11" t="s">
        <v>132</v>
      </c>
      <c r="D5" s="11" t="s">
        <v>143</v>
      </c>
      <c r="E5" s="11" t="s">
        <v>25</v>
      </c>
      <c r="F5" s="19" t="s">
        <v>144</v>
      </c>
    </row>
    <row r="6" customFormat="false" ht="105" hidden="false" customHeight="true" outlineLevel="0" collapsed="false">
      <c r="A6" s="13" t="n">
        <v>2</v>
      </c>
      <c r="B6" s="6" t="s">
        <v>145</v>
      </c>
      <c r="C6" s="6" t="s">
        <v>132</v>
      </c>
      <c r="D6" s="6" t="s">
        <v>146</v>
      </c>
      <c r="E6" s="6" t="s">
        <v>34</v>
      </c>
      <c r="F6" s="20" t="s">
        <v>147</v>
      </c>
    </row>
    <row r="7" customFormat="false" ht="105" hidden="false" customHeight="true" outlineLevel="0" collapsed="false">
      <c r="A7" s="13" t="n">
        <v>3</v>
      </c>
      <c r="B7" s="6" t="s">
        <v>148</v>
      </c>
      <c r="C7" s="6" t="s">
        <v>132</v>
      </c>
      <c r="D7" s="6" t="s">
        <v>149</v>
      </c>
      <c r="E7" s="6" t="s">
        <v>25</v>
      </c>
      <c r="F7" s="20" t="s">
        <v>150</v>
      </c>
    </row>
    <row r="8" customFormat="false" ht="135" hidden="false" customHeight="true" outlineLevel="0" collapsed="false">
      <c r="A8" s="13" t="n">
        <v>4</v>
      </c>
      <c r="B8" s="6" t="s">
        <v>151</v>
      </c>
      <c r="C8" s="6" t="s">
        <v>132</v>
      </c>
      <c r="D8" s="6" t="s">
        <v>152</v>
      </c>
      <c r="E8" s="6" t="s">
        <v>64</v>
      </c>
      <c r="F8" s="20" t="s">
        <v>153</v>
      </c>
    </row>
    <row r="9" customFormat="false" ht="105" hidden="false" customHeight="true" outlineLevel="0" collapsed="false">
      <c r="A9" s="13" t="n">
        <v>5</v>
      </c>
      <c r="B9" s="6" t="s">
        <v>154</v>
      </c>
      <c r="C9" s="6" t="s">
        <v>132</v>
      </c>
      <c r="D9" s="6" t="s">
        <v>155</v>
      </c>
      <c r="E9" s="6" t="s">
        <v>34</v>
      </c>
      <c r="F9" s="20" t="s">
        <v>156</v>
      </c>
    </row>
    <row r="10" customFormat="false" ht="105" hidden="false" customHeight="true" outlineLevel="0" collapsed="false">
      <c r="A10" s="13" t="n">
        <v>6</v>
      </c>
      <c r="B10" s="6" t="s">
        <v>157</v>
      </c>
      <c r="C10" s="6" t="s">
        <v>158</v>
      </c>
      <c r="D10" s="6" t="s">
        <v>159</v>
      </c>
      <c r="E10" s="6" t="s">
        <v>25</v>
      </c>
      <c r="F10" s="20" t="s">
        <v>160</v>
      </c>
    </row>
    <row r="11" customFormat="false" ht="75" hidden="false" customHeight="true" outlineLevel="0" collapsed="false">
      <c r="A11" s="13" t="n">
        <v>7</v>
      </c>
      <c r="B11" s="6" t="s">
        <v>161</v>
      </c>
      <c r="C11" s="6" t="s">
        <v>158</v>
      </c>
      <c r="D11" s="6" t="s">
        <v>162</v>
      </c>
      <c r="E11" s="6" t="s">
        <v>34</v>
      </c>
      <c r="F11" s="20" t="s">
        <v>153</v>
      </c>
    </row>
    <row r="12" customFormat="false" ht="14.25" hidden="false" customHeight="true" outlineLevel="0" collapsed="false">
      <c r="A12" s="15"/>
      <c r="B12" s="16"/>
      <c r="C12" s="16"/>
      <c r="D12" s="16"/>
      <c r="E12" s="16"/>
      <c r="F12" s="21"/>
    </row>
    <row r="13" customFormat="false" ht="14.25" hidden="false" customHeight="true" outlineLevel="0" collapsed="false">
      <c r="A13" s="3"/>
      <c r="B13" s="3"/>
      <c r="C13" s="3"/>
      <c r="D13" s="3"/>
      <c r="E13" s="3"/>
      <c r="F13" s="3"/>
    </row>
    <row r="14" customFormat="false" ht="15.75" hidden="false" customHeight="true" outlineLevel="0" collapsed="false">
      <c r="A14" s="4" t="s">
        <v>163</v>
      </c>
      <c r="B14" s="4"/>
      <c r="C14" s="4"/>
      <c r="D14" s="4"/>
      <c r="E14" s="4"/>
      <c r="F14" s="4"/>
    </row>
    <row r="15" customFormat="false" ht="15" hidden="false" customHeight="true" outlineLevel="0" collapsed="false">
      <c r="A15" s="9" t="s">
        <v>137</v>
      </c>
      <c r="B15" s="9" t="s">
        <v>138</v>
      </c>
      <c r="C15" s="9" t="s">
        <v>139</v>
      </c>
      <c r="D15" s="9" t="s">
        <v>140</v>
      </c>
      <c r="E15" s="9" t="s">
        <v>125</v>
      </c>
      <c r="F15" s="9" t="s">
        <v>141</v>
      </c>
    </row>
    <row r="16" customFormat="false" ht="150" hidden="false" customHeight="true" outlineLevel="0" collapsed="false">
      <c r="A16" s="10" t="n">
        <v>1</v>
      </c>
      <c r="B16" s="11" t="s">
        <v>164</v>
      </c>
      <c r="C16" s="11" t="s">
        <v>132</v>
      </c>
      <c r="D16" s="11" t="s">
        <v>165</v>
      </c>
      <c r="E16" s="11" t="s">
        <v>56</v>
      </c>
      <c r="F16" s="19" t="s">
        <v>166</v>
      </c>
    </row>
    <row r="17" customFormat="false" ht="75" hidden="false" customHeight="true" outlineLevel="0" collapsed="false">
      <c r="A17" s="13" t="n">
        <v>2</v>
      </c>
      <c r="B17" s="6" t="s">
        <v>167</v>
      </c>
      <c r="C17" s="6" t="s">
        <v>158</v>
      </c>
      <c r="D17" s="6" t="s">
        <v>168</v>
      </c>
      <c r="E17" s="6" t="s">
        <v>34</v>
      </c>
      <c r="F17" s="20" t="s">
        <v>169</v>
      </c>
    </row>
    <row r="18" customFormat="false" ht="120" hidden="false" customHeight="true" outlineLevel="0" collapsed="false">
      <c r="A18" s="13" t="n">
        <v>3</v>
      </c>
      <c r="B18" s="6" t="s">
        <v>170</v>
      </c>
      <c r="C18" s="6" t="s">
        <v>158</v>
      </c>
      <c r="D18" s="6" t="s">
        <v>171</v>
      </c>
      <c r="E18" s="6" t="s">
        <v>46</v>
      </c>
      <c r="F18" s="20" t="s">
        <v>172</v>
      </c>
    </row>
    <row r="19" customFormat="false" ht="75" hidden="false" customHeight="true" outlineLevel="0" collapsed="false">
      <c r="A19" s="13" t="n">
        <v>4</v>
      </c>
      <c r="B19" s="6" t="s">
        <v>173</v>
      </c>
      <c r="C19" s="6" t="s">
        <v>158</v>
      </c>
      <c r="D19" s="6" t="s">
        <v>174</v>
      </c>
      <c r="E19" s="6" t="s">
        <v>64</v>
      </c>
      <c r="F19" s="20" t="s">
        <v>172</v>
      </c>
    </row>
    <row r="20" customFormat="false" ht="75" hidden="false" customHeight="true" outlineLevel="0" collapsed="false">
      <c r="A20" s="13" t="n">
        <v>5</v>
      </c>
      <c r="B20" s="6" t="s">
        <v>175</v>
      </c>
      <c r="C20" s="6" t="s">
        <v>158</v>
      </c>
      <c r="D20" s="6" t="s">
        <v>176</v>
      </c>
      <c r="E20" s="6" t="s">
        <v>34</v>
      </c>
      <c r="F20" s="20" t="s">
        <v>177</v>
      </c>
    </row>
    <row r="21" customFormat="false" ht="14.25" hidden="false" customHeight="true" outlineLevel="0" collapsed="false">
      <c r="A21" s="13"/>
      <c r="B21" s="6"/>
      <c r="C21" s="6"/>
      <c r="D21" s="6"/>
      <c r="E21" s="6"/>
      <c r="F21" s="20"/>
    </row>
    <row r="22" customFormat="false" ht="14.25" hidden="false" customHeight="true" outlineLevel="0" collapsed="false">
      <c r="A22" s="13"/>
      <c r="B22" s="6"/>
      <c r="C22" s="6"/>
      <c r="D22" s="6"/>
      <c r="E22" s="6"/>
      <c r="F22" s="20"/>
    </row>
    <row r="23" customFormat="false" ht="14.25" hidden="false" customHeight="true" outlineLevel="0" collapsed="false">
      <c r="A23" s="15"/>
      <c r="B23" s="16"/>
      <c r="C23" s="16"/>
      <c r="D23" s="16"/>
      <c r="E23" s="16"/>
      <c r="F23" s="21"/>
    </row>
    <row r="24" customFormat="false" ht="14.25" hidden="false" customHeight="true" outlineLevel="0" collapsed="false">
      <c r="A24" s="3"/>
      <c r="B24" s="3"/>
      <c r="C24" s="3"/>
      <c r="D24" s="3"/>
      <c r="E24" s="3"/>
      <c r="F24" s="3"/>
    </row>
    <row r="25" customFormat="false" ht="15.75" hidden="false" customHeight="true" outlineLevel="0" collapsed="false">
      <c r="A25" s="4" t="s">
        <v>178</v>
      </c>
      <c r="B25" s="4"/>
      <c r="C25" s="4"/>
      <c r="D25" s="4"/>
      <c r="E25" s="4"/>
      <c r="F25" s="4"/>
    </row>
    <row r="26" customFormat="false" ht="15" hidden="false" customHeight="true" outlineLevel="0" collapsed="false">
      <c r="A26" s="9" t="s">
        <v>137</v>
      </c>
      <c r="B26" s="9" t="s">
        <v>138</v>
      </c>
      <c r="C26" s="9" t="s">
        <v>139</v>
      </c>
      <c r="D26" s="9" t="s">
        <v>140</v>
      </c>
      <c r="E26" s="9" t="s">
        <v>125</v>
      </c>
      <c r="F26" s="9" t="s">
        <v>141</v>
      </c>
    </row>
    <row r="27" customFormat="false" ht="105" hidden="false" customHeight="true" outlineLevel="0" collapsed="false">
      <c r="A27" s="10" t="n">
        <v>1</v>
      </c>
      <c r="B27" s="11" t="s">
        <v>179</v>
      </c>
      <c r="C27" s="11" t="s">
        <v>132</v>
      </c>
      <c r="D27" s="11" t="s">
        <v>180</v>
      </c>
      <c r="E27" s="11" t="s">
        <v>34</v>
      </c>
      <c r="F27" s="19" t="s">
        <v>169</v>
      </c>
    </row>
    <row r="28" customFormat="false" ht="90" hidden="false" customHeight="true" outlineLevel="0" collapsed="false">
      <c r="A28" s="13" t="n">
        <v>2</v>
      </c>
      <c r="B28" s="6" t="s">
        <v>181</v>
      </c>
      <c r="C28" s="6" t="s">
        <v>158</v>
      </c>
      <c r="D28" s="6" t="s">
        <v>182</v>
      </c>
      <c r="E28" s="6" t="s">
        <v>34</v>
      </c>
      <c r="F28" s="20" t="s">
        <v>183</v>
      </c>
    </row>
    <row r="29" customFormat="false" ht="75" hidden="false" customHeight="true" outlineLevel="0" collapsed="false">
      <c r="A29" s="13" t="n">
        <v>3</v>
      </c>
      <c r="B29" s="6" t="s">
        <v>184</v>
      </c>
      <c r="C29" s="6" t="s">
        <v>158</v>
      </c>
      <c r="D29" s="6" t="s">
        <v>185</v>
      </c>
      <c r="E29" s="6" t="s">
        <v>56</v>
      </c>
      <c r="F29" s="20" t="s">
        <v>186</v>
      </c>
    </row>
    <row r="30" customFormat="false" ht="75" hidden="false" customHeight="true" outlineLevel="0" collapsed="false">
      <c r="A30" s="13" t="n">
        <v>4</v>
      </c>
      <c r="B30" s="6" t="s">
        <v>187</v>
      </c>
      <c r="C30" s="6" t="s">
        <v>158</v>
      </c>
      <c r="D30" s="6" t="s">
        <v>188</v>
      </c>
      <c r="E30" s="6" t="s">
        <v>34</v>
      </c>
      <c r="F30" s="20" t="s">
        <v>169</v>
      </c>
    </row>
    <row r="31" customFormat="false" ht="90" hidden="false" customHeight="true" outlineLevel="0" collapsed="false">
      <c r="A31" s="13" t="n">
        <v>5</v>
      </c>
      <c r="B31" s="6" t="s">
        <v>189</v>
      </c>
      <c r="C31" s="6" t="s">
        <v>190</v>
      </c>
      <c r="D31" s="6" t="s">
        <v>191</v>
      </c>
      <c r="E31" s="6" t="s">
        <v>34</v>
      </c>
      <c r="F31" s="20" t="s">
        <v>169</v>
      </c>
    </row>
    <row r="32" customFormat="false" ht="14.25" hidden="false" customHeight="true" outlineLevel="0" collapsed="false">
      <c r="A32" s="13"/>
      <c r="B32" s="6"/>
      <c r="C32" s="6"/>
      <c r="D32" s="6"/>
      <c r="E32" s="6"/>
      <c r="F32" s="20"/>
    </row>
    <row r="33" customFormat="false" ht="14.25" hidden="false" customHeight="true" outlineLevel="0" collapsed="false">
      <c r="A33" s="13"/>
      <c r="B33" s="6"/>
      <c r="C33" s="6"/>
      <c r="D33" s="6"/>
      <c r="E33" s="6"/>
      <c r="F33" s="20"/>
    </row>
    <row r="34" customFormat="false" ht="14.25" hidden="false" customHeight="true" outlineLevel="0" collapsed="false">
      <c r="A34" s="15"/>
      <c r="B34" s="16"/>
      <c r="C34" s="16"/>
      <c r="D34" s="16"/>
      <c r="E34" s="16"/>
      <c r="F34" s="21"/>
    </row>
    <row r="35" customFormat="false" ht="14.25" hidden="false" customHeight="true" outlineLevel="0" collapsed="false">
      <c r="A35" s="3"/>
      <c r="B35" s="3"/>
      <c r="C35" s="3"/>
      <c r="D35" s="3"/>
      <c r="E35" s="3"/>
      <c r="F35" s="3"/>
    </row>
    <row r="36" customFormat="false" ht="14.25" hidden="false" customHeight="true" outlineLevel="0" collapsed="false">
      <c r="A36" s="3"/>
      <c r="B36" s="3"/>
      <c r="C36" s="3"/>
      <c r="D36" s="3"/>
      <c r="E36" s="3"/>
      <c r="F36" s="3"/>
    </row>
    <row r="37" customFormat="false" ht="14.25" hidden="false" customHeight="true" outlineLevel="0" collapsed="false">
      <c r="A37" s="3"/>
      <c r="B37" s="3"/>
      <c r="C37" s="3"/>
      <c r="D37" s="3"/>
      <c r="E37" s="3"/>
      <c r="F37" s="3"/>
    </row>
    <row r="38" customFormat="false" ht="14.25" hidden="false" customHeight="true" outlineLevel="0" collapsed="false">
      <c r="A38" s="3"/>
      <c r="B38" s="3"/>
      <c r="C38" s="3"/>
      <c r="D38" s="3"/>
      <c r="E38" s="3"/>
      <c r="F38" s="3"/>
    </row>
    <row r="39" customFormat="false" ht="14.25" hidden="false" customHeight="true" outlineLevel="0" collapsed="false">
      <c r="A39" s="3"/>
      <c r="B39" s="3"/>
      <c r="C39" s="3"/>
      <c r="D39" s="3"/>
      <c r="E39" s="3"/>
      <c r="F39" s="3"/>
    </row>
    <row r="40" customFormat="false" ht="14.25" hidden="false" customHeight="true" outlineLevel="0" collapsed="false">
      <c r="A40" s="3"/>
      <c r="B40" s="3"/>
      <c r="C40" s="3"/>
      <c r="D40" s="3"/>
      <c r="E40" s="3"/>
      <c r="F40" s="3"/>
    </row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mergeCells count="4">
    <mergeCell ref="A1:F1"/>
    <mergeCell ref="A3:F3"/>
    <mergeCell ref="A14:F14"/>
    <mergeCell ref="A25:F2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4" min="1" style="1" width="20"/>
    <col collapsed="false" customWidth="true" hidden="false" outlineLevel="0" max="26" min="5" style="1" width="8.71"/>
  </cols>
  <sheetData>
    <row r="1" customFormat="false" ht="15" hidden="false" customHeight="true" outlineLevel="0" collapsed="false">
      <c r="A1" s="9" t="s">
        <v>17</v>
      </c>
      <c r="B1" s="9" t="s">
        <v>192</v>
      </c>
      <c r="C1" s="9" t="s">
        <v>127</v>
      </c>
      <c r="D1" s="9" t="s">
        <v>139</v>
      </c>
    </row>
    <row r="2" customFormat="false" ht="14.25" hidden="false" customHeight="true" outlineLevel="0" collapsed="false">
      <c r="A2" s="22" t="s">
        <v>193</v>
      </c>
      <c r="B2" s="22" t="s">
        <v>133</v>
      </c>
      <c r="C2" s="22" t="s">
        <v>132</v>
      </c>
      <c r="D2" s="22" t="s">
        <v>132</v>
      </c>
    </row>
    <row r="3" customFormat="false" ht="14.25" hidden="false" customHeight="true" outlineLevel="0" collapsed="false">
      <c r="A3" s="22" t="s">
        <v>194</v>
      </c>
      <c r="B3" s="22" t="s">
        <v>195</v>
      </c>
      <c r="C3" s="22" t="s">
        <v>158</v>
      </c>
      <c r="D3" s="22" t="s">
        <v>158</v>
      </c>
    </row>
    <row r="4" customFormat="false" ht="14.25" hidden="false" customHeight="true" outlineLevel="0" collapsed="false">
      <c r="A4" s="22" t="s">
        <v>196</v>
      </c>
      <c r="C4" s="22" t="s">
        <v>190</v>
      </c>
      <c r="D4" s="22" t="s">
        <v>190</v>
      </c>
    </row>
    <row r="5" customFormat="false" ht="14.25" hidden="false" customHeight="true" outlineLevel="0" collapsed="false">
      <c r="A5" s="22" t="s">
        <v>24</v>
      </c>
    </row>
    <row r="6" customFormat="false" ht="14.25" hidden="false" customHeight="true" outlineLevel="0" collapsed="false">
      <c r="A6" s="22" t="s">
        <v>101</v>
      </c>
    </row>
    <row r="7" customFormat="false" ht="14.25" hidden="false" customHeight="true" outlineLevel="0" collapsed="false"/>
    <row r="8" customFormat="false" ht="14.25" hidden="false" customHeight="true" outlineLevel="0" collapsed="false"/>
    <row r="9" customFormat="false" ht="14.25" hidden="false" customHeight="true" outlineLevel="0" collapsed="false"/>
    <row r="10" customFormat="false" ht="14.25" hidden="false" customHeight="true" outlineLevel="0" collapsed="false"/>
    <row r="11" customFormat="false" ht="14.25" hidden="false" customHeight="true" outlineLevel="0" collapsed="false"/>
    <row r="12" customFormat="false" ht="14.25" hidden="false" customHeight="true" outlineLevel="0" collapsed="false"/>
    <row r="13" customFormat="false" ht="14.25" hidden="false" customHeight="true" outlineLevel="0" collapsed="false"/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2026-09-30T09:40:21Z</dcterms:created>
  <dc:creator>openpyxl</dc:creator>
  <dc:description/>
  <dc:language>en-US</dc:language>
  <cp:lastModifiedBy/>
  <dcterms:modified xsi:type="dcterms:W3CDTF">2026-10-07T09:03:28Z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